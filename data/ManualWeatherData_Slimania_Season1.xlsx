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1df3a5b4952abf3/Dokumente/Promotion/Planung Promotion/Gesamter Ansatz/Morocco/Downskaling/Italiener/"/>
    </mc:Choice>
  </mc:AlternateContent>
  <xr:revisionPtr revIDLastSave="2" documentId="8_{94D95941-5456-4FB2-9532-2FC40089AC5B}" xr6:coauthVersionLast="47" xr6:coauthVersionMax="47" xr10:uidLastSave="{E1608F4B-1E2C-451B-823C-474C247F1D66}"/>
  <bookViews>
    <workbookView xWindow="-110" yWindow="-110" windowWidth="19420" windowHeight="10300" activeTab="1" xr2:uid="{B9EE1D23-8BCF-47C3-A012-FBC1D351E525}"/>
  </bookViews>
  <sheets>
    <sheet name="METEO 2024" sheetId="1" r:id="rId1"/>
    <sheet name="METEO 2025" sheetId="2" r:id="rId2"/>
  </sheets>
  <definedNames>
    <definedName name="_xlnm.Print_Area" localSheetId="1">'METEO 2025'!$Q$4:$Q$15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9" i="2" l="1"/>
  <c r="C539" i="2"/>
  <c r="M538" i="2"/>
  <c r="J538" i="2"/>
  <c r="G538" i="2"/>
  <c r="G539" i="2" s="1"/>
  <c r="E538" i="2"/>
  <c r="E539" i="2" s="1"/>
  <c r="D538" i="2"/>
  <c r="D539" i="2" s="1"/>
  <c r="C538" i="2"/>
  <c r="B538" i="2"/>
  <c r="B539" i="2" s="1"/>
  <c r="M537" i="2"/>
  <c r="L537" i="2"/>
  <c r="L538" i="2" s="1"/>
  <c r="K537" i="2"/>
  <c r="K538" i="2" s="1"/>
  <c r="J537" i="2"/>
  <c r="I537" i="2"/>
  <c r="I538" i="2" s="1"/>
  <c r="I539" i="2" s="1"/>
  <c r="H537" i="2"/>
  <c r="H538" i="2" s="1"/>
  <c r="H539" i="2" s="1"/>
  <c r="G537" i="2"/>
  <c r="E537" i="2"/>
  <c r="D537" i="2"/>
  <c r="C537" i="2"/>
  <c r="B537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H493" i="2"/>
  <c r="H494" i="2" s="1"/>
  <c r="M492" i="2"/>
  <c r="M493" i="2" s="1"/>
  <c r="L492" i="2"/>
  <c r="L493" i="2" s="1"/>
  <c r="K492" i="2"/>
  <c r="K493" i="2" s="1"/>
  <c r="J492" i="2"/>
  <c r="J493" i="2" s="1"/>
  <c r="J494" i="2" s="1"/>
  <c r="I492" i="2"/>
  <c r="I493" i="2" s="1"/>
  <c r="I494" i="2" s="1"/>
  <c r="H492" i="2"/>
  <c r="G492" i="2"/>
  <c r="G493" i="2" s="1"/>
  <c r="G494" i="2" s="1"/>
  <c r="F492" i="2"/>
  <c r="F493" i="2" s="1"/>
  <c r="E492" i="2"/>
  <c r="E493" i="2" s="1"/>
  <c r="E494" i="2" s="1"/>
  <c r="D492" i="2"/>
  <c r="D493" i="2" s="1"/>
  <c r="D494" i="2" s="1"/>
  <c r="C492" i="2"/>
  <c r="C493" i="2" s="1"/>
  <c r="C494" i="2" s="1"/>
  <c r="B492" i="2"/>
  <c r="B493" i="2" s="1"/>
  <c r="B494" i="2" s="1"/>
  <c r="M480" i="2"/>
  <c r="L480" i="2"/>
  <c r="K480" i="2"/>
  <c r="J480" i="2"/>
  <c r="I480" i="2"/>
  <c r="H480" i="2"/>
  <c r="G480" i="2"/>
  <c r="F480" i="2"/>
  <c r="E480" i="2"/>
  <c r="D480" i="2"/>
  <c r="C480" i="2"/>
  <c r="B480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E449" i="2"/>
  <c r="E448" i="2"/>
  <c r="M447" i="2"/>
  <c r="M448" i="2" s="1"/>
  <c r="L447" i="2"/>
  <c r="L448" i="2" s="1"/>
  <c r="K447" i="2"/>
  <c r="K448" i="2" s="1"/>
  <c r="J447" i="2"/>
  <c r="J448" i="2" s="1"/>
  <c r="J449" i="2" s="1"/>
  <c r="I447" i="2"/>
  <c r="H447" i="2"/>
  <c r="G447" i="2"/>
  <c r="G448" i="2" s="1"/>
  <c r="G449" i="2" s="1"/>
  <c r="F447" i="2"/>
  <c r="F448" i="2" s="1"/>
  <c r="E447" i="2"/>
  <c r="D447" i="2"/>
  <c r="D448" i="2" s="1"/>
  <c r="D449" i="2" s="1"/>
  <c r="C447" i="2"/>
  <c r="B447" i="2"/>
  <c r="B448" i="2" s="1"/>
  <c r="B449" i="2" s="1"/>
  <c r="L435" i="2"/>
  <c r="K435" i="2"/>
  <c r="J435" i="2"/>
  <c r="I435" i="2"/>
  <c r="H435" i="2"/>
  <c r="G435" i="2"/>
  <c r="F435" i="2"/>
  <c r="E435" i="2"/>
  <c r="D435" i="2"/>
  <c r="C435" i="2"/>
  <c r="B435" i="2"/>
  <c r="L424" i="2"/>
  <c r="K424" i="2"/>
  <c r="J424" i="2"/>
  <c r="I424" i="2"/>
  <c r="H424" i="2"/>
  <c r="G424" i="2"/>
  <c r="E424" i="2"/>
  <c r="D424" i="2"/>
  <c r="C424" i="2"/>
  <c r="B424" i="2"/>
  <c r="J403" i="2"/>
  <c r="J404" i="2" s="1"/>
  <c r="E403" i="2"/>
  <c r="E404" i="2" s="1"/>
  <c r="D403" i="2"/>
  <c r="D404" i="2" s="1"/>
  <c r="C403" i="2"/>
  <c r="C404" i="2" s="1"/>
  <c r="M402" i="2"/>
  <c r="L402" i="2"/>
  <c r="K402" i="2"/>
  <c r="K403" i="2" s="1"/>
  <c r="J402" i="2"/>
  <c r="I402" i="2"/>
  <c r="I403" i="2" s="1"/>
  <c r="I404" i="2" s="1"/>
  <c r="H402" i="2"/>
  <c r="G402" i="2"/>
  <c r="E402" i="2"/>
  <c r="D402" i="2"/>
  <c r="C402" i="2"/>
  <c r="B402" i="2"/>
  <c r="M390" i="2"/>
  <c r="L390" i="2"/>
  <c r="K390" i="2"/>
  <c r="J390" i="2"/>
  <c r="G390" i="2"/>
  <c r="F390" i="2"/>
  <c r="E390" i="2"/>
  <c r="D390" i="2"/>
  <c r="C390" i="2"/>
  <c r="B390" i="2"/>
  <c r="M379" i="2"/>
  <c r="M403" i="2" s="1"/>
  <c r="L379" i="2"/>
  <c r="L403" i="2" s="1"/>
  <c r="K379" i="2"/>
  <c r="J379" i="2"/>
  <c r="I379" i="2"/>
  <c r="H379" i="2"/>
  <c r="H403" i="2" s="1"/>
  <c r="H404" i="2" s="1"/>
  <c r="G379" i="2"/>
  <c r="F379" i="2"/>
  <c r="E379" i="2"/>
  <c r="D379" i="2"/>
  <c r="C379" i="2"/>
  <c r="B379" i="2"/>
  <c r="J358" i="2"/>
  <c r="J359" i="2" s="1"/>
  <c r="F358" i="2"/>
  <c r="F359" i="2" s="1"/>
  <c r="E358" i="2"/>
  <c r="E359" i="2" s="1"/>
  <c r="D358" i="2"/>
  <c r="D359" i="2" s="1"/>
  <c r="M357" i="2"/>
  <c r="M358" i="2" s="1"/>
  <c r="L357" i="2"/>
  <c r="L358" i="2" s="1"/>
  <c r="K357" i="2"/>
  <c r="J357" i="2"/>
  <c r="I357" i="2"/>
  <c r="I358" i="2" s="1"/>
  <c r="I359" i="2" s="1"/>
  <c r="H357" i="2"/>
  <c r="G357" i="2"/>
  <c r="G358" i="2" s="1"/>
  <c r="G359" i="2" s="1"/>
  <c r="E357" i="2"/>
  <c r="D357" i="2"/>
  <c r="C357" i="2"/>
  <c r="C358" i="2" s="1"/>
  <c r="C359" i="2" s="1"/>
  <c r="B357" i="2"/>
  <c r="M345" i="2"/>
  <c r="L345" i="2"/>
  <c r="K345" i="2"/>
  <c r="J345" i="2"/>
  <c r="I345" i="2"/>
  <c r="H345" i="2"/>
  <c r="G345" i="2"/>
  <c r="E345" i="2"/>
  <c r="D345" i="2"/>
  <c r="C345" i="2"/>
  <c r="B345" i="2"/>
  <c r="M334" i="2"/>
  <c r="L334" i="2"/>
  <c r="J334" i="2"/>
  <c r="I334" i="2"/>
  <c r="H334" i="2"/>
  <c r="G334" i="2"/>
  <c r="E334" i="2"/>
  <c r="D334" i="2"/>
  <c r="C334" i="2"/>
  <c r="B334" i="2"/>
  <c r="J313" i="2"/>
  <c r="J314" i="2" s="1"/>
  <c r="F313" i="2"/>
  <c r="F314" i="2" s="1"/>
  <c r="E313" i="2"/>
  <c r="E314" i="2" s="1"/>
  <c r="D313" i="2"/>
  <c r="D314" i="2" s="1"/>
  <c r="M312" i="2"/>
  <c r="M313" i="2" s="1"/>
  <c r="L312" i="2"/>
  <c r="L313" i="2" s="1"/>
  <c r="K312" i="2"/>
  <c r="K313" i="2" s="1"/>
  <c r="J312" i="2"/>
  <c r="I312" i="2"/>
  <c r="I313" i="2" s="1"/>
  <c r="I314" i="2" s="1"/>
  <c r="H312" i="2"/>
  <c r="G312" i="2"/>
  <c r="G313" i="2" s="1"/>
  <c r="G314" i="2" s="1"/>
  <c r="E312" i="2"/>
  <c r="D312" i="2"/>
  <c r="C312" i="2"/>
  <c r="C313" i="2" s="1"/>
  <c r="C314" i="2" s="1"/>
  <c r="B312" i="2"/>
  <c r="M300" i="2"/>
  <c r="L300" i="2"/>
  <c r="K300" i="2"/>
  <c r="J300" i="2"/>
  <c r="I300" i="2"/>
  <c r="H300" i="2"/>
  <c r="G300" i="2"/>
  <c r="E300" i="2"/>
  <c r="D300" i="2"/>
  <c r="C300" i="2"/>
  <c r="B300" i="2"/>
  <c r="M289" i="2"/>
  <c r="L289" i="2"/>
  <c r="K289" i="2"/>
  <c r="J289" i="2"/>
  <c r="I289" i="2"/>
  <c r="H289" i="2"/>
  <c r="G289" i="2"/>
  <c r="E289" i="2"/>
  <c r="D289" i="2"/>
  <c r="C289" i="2"/>
  <c r="B289" i="2"/>
  <c r="J269" i="2"/>
  <c r="M267" i="2"/>
  <c r="M268" i="2" s="1"/>
  <c r="L267" i="2"/>
  <c r="L268" i="2" s="1"/>
  <c r="K267" i="2"/>
  <c r="K268" i="2" s="1"/>
  <c r="J267" i="2"/>
  <c r="J268" i="2" s="1"/>
  <c r="I267" i="2"/>
  <c r="I268" i="2" s="1"/>
  <c r="I269" i="2" s="1"/>
  <c r="H267" i="2"/>
  <c r="H268" i="2" s="1"/>
  <c r="H269" i="2" s="1"/>
  <c r="G267" i="2"/>
  <c r="G268" i="2" s="1"/>
  <c r="G269" i="2" s="1"/>
  <c r="F267" i="2"/>
  <c r="F268" i="2" s="1"/>
  <c r="E267" i="2"/>
  <c r="E268" i="2" s="1"/>
  <c r="E269" i="2" s="1"/>
  <c r="D267" i="2"/>
  <c r="C267" i="2"/>
  <c r="C268" i="2" s="1"/>
  <c r="C269" i="2" s="1"/>
  <c r="B267" i="2"/>
  <c r="B268" i="2" s="1"/>
  <c r="B269" i="2" s="1"/>
  <c r="M255" i="2"/>
  <c r="L255" i="2"/>
  <c r="K255" i="2"/>
  <c r="J255" i="2"/>
  <c r="I255" i="2"/>
  <c r="H255" i="2"/>
  <c r="G255" i="2"/>
  <c r="F255" i="2"/>
  <c r="E255" i="2"/>
  <c r="C255" i="2"/>
  <c r="B255" i="2"/>
  <c r="D254" i="2"/>
  <c r="D253" i="2"/>
  <c r="D252" i="2"/>
  <c r="D251" i="2"/>
  <c r="D250" i="2"/>
  <c r="D249" i="2"/>
  <c r="D248" i="2"/>
  <c r="D247" i="2"/>
  <c r="D246" i="2"/>
  <c r="D245" i="2"/>
  <c r="M244" i="2"/>
  <c r="L244" i="2"/>
  <c r="K244" i="2"/>
  <c r="J244" i="2"/>
  <c r="I244" i="2"/>
  <c r="H244" i="2"/>
  <c r="G244" i="2"/>
  <c r="F244" i="2"/>
  <c r="E244" i="2"/>
  <c r="C244" i="2"/>
  <c r="B244" i="2"/>
  <c r="D243" i="2"/>
  <c r="D242" i="2"/>
  <c r="D241" i="2"/>
  <c r="D240" i="2"/>
  <c r="D239" i="2"/>
  <c r="D238" i="2"/>
  <c r="D237" i="2"/>
  <c r="D236" i="2"/>
  <c r="D235" i="2"/>
  <c r="D234" i="2"/>
  <c r="D244" i="2" s="1"/>
  <c r="G224" i="2"/>
  <c r="G223" i="2"/>
  <c r="M222" i="2"/>
  <c r="M223" i="2" s="1"/>
  <c r="L222" i="2"/>
  <c r="L223" i="2" s="1"/>
  <c r="K222" i="2"/>
  <c r="J222" i="2"/>
  <c r="I222" i="2"/>
  <c r="I223" i="2" s="1"/>
  <c r="I224" i="2" s="1"/>
  <c r="H222" i="2"/>
  <c r="H223" i="2" s="1"/>
  <c r="H224" i="2" s="1"/>
  <c r="G222" i="2"/>
  <c r="F222" i="2"/>
  <c r="F223" i="2" s="1"/>
  <c r="E222" i="2"/>
  <c r="C222" i="2"/>
  <c r="B222" i="2"/>
  <c r="B223" i="2" s="1"/>
  <c r="B224" i="2" s="1"/>
  <c r="D221" i="2"/>
  <c r="D220" i="2"/>
  <c r="D219" i="2"/>
  <c r="D218" i="2"/>
  <c r="D217" i="2"/>
  <c r="D216" i="2"/>
  <c r="D215" i="2"/>
  <c r="D214" i="2"/>
  <c r="D213" i="2"/>
  <c r="D212" i="2"/>
  <c r="D211" i="2"/>
  <c r="M210" i="2"/>
  <c r="L210" i="2"/>
  <c r="K210" i="2"/>
  <c r="J210" i="2"/>
  <c r="I210" i="2"/>
  <c r="H210" i="2"/>
  <c r="G210" i="2"/>
  <c r="F210" i="2"/>
  <c r="E210" i="2"/>
  <c r="C210" i="2"/>
  <c r="B210" i="2"/>
  <c r="D209" i="2"/>
  <c r="D208" i="2"/>
  <c r="D207" i="2"/>
  <c r="D206" i="2"/>
  <c r="D205" i="2"/>
  <c r="D204" i="2"/>
  <c r="D203" i="2"/>
  <c r="D202" i="2"/>
  <c r="D201" i="2"/>
  <c r="D200" i="2"/>
  <c r="M199" i="2"/>
  <c r="L199" i="2"/>
  <c r="K199" i="2"/>
  <c r="J199" i="2"/>
  <c r="I199" i="2"/>
  <c r="H199" i="2"/>
  <c r="G199" i="2"/>
  <c r="F199" i="2"/>
  <c r="E199" i="2"/>
  <c r="C199" i="2"/>
  <c r="B199" i="2"/>
  <c r="D198" i="2"/>
  <c r="D197" i="2"/>
  <c r="D196" i="2"/>
  <c r="D195" i="2"/>
  <c r="D194" i="2"/>
  <c r="D193" i="2"/>
  <c r="D192" i="2"/>
  <c r="D191" i="2"/>
  <c r="D190" i="2"/>
  <c r="D189" i="2"/>
  <c r="D199" i="2" s="1"/>
  <c r="C179" i="2"/>
  <c r="F178" i="2"/>
  <c r="M177" i="2"/>
  <c r="M178" i="2" s="1"/>
  <c r="L177" i="2"/>
  <c r="K177" i="2"/>
  <c r="K178" i="2" s="1"/>
  <c r="J177" i="2"/>
  <c r="J178" i="2" s="1"/>
  <c r="J179" i="2" s="1"/>
  <c r="I177" i="2"/>
  <c r="I178" i="2" s="1"/>
  <c r="I179" i="2" s="1"/>
  <c r="H177" i="2"/>
  <c r="H178" i="2" s="1"/>
  <c r="H179" i="2" s="1"/>
  <c r="G177" i="2"/>
  <c r="G178" i="2" s="1"/>
  <c r="G179" i="2" s="1"/>
  <c r="F177" i="2"/>
  <c r="E177" i="2"/>
  <c r="C177" i="2"/>
  <c r="C178" i="2" s="1"/>
  <c r="B177" i="2"/>
  <c r="B178" i="2" s="1"/>
  <c r="B179" i="2" s="1"/>
  <c r="D174" i="2"/>
  <c r="D173" i="2"/>
  <c r="D172" i="2"/>
  <c r="D169" i="2"/>
  <c r="D177" i="2" s="1"/>
  <c r="D168" i="2"/>
  <c r="D167" i="2"/>
  <c r="D166" i="2"/>
  <c r="M165" i="2"/>
  <c r="L165" i="2"/>
  <c r="K165" i="2"/>
  <c r="J165" i="2"/>
  <c r="I165" i="2"/>
  <c r="H165" i="2"/>
  <c r="G165" i="2"/>
  <c r="F165" i="2"/>
  <c r="E165" i="2"/>
  <c r="E178" i="2" s="1"/>
  <c r="E179" i="2" s="1"/>
  <c r="C165" i="2"/>
  <c r="B165" i="2"/>
  <c r="D164" i="2"/>
  <c r="D163" i="2"/>
  <c r="D162" i="2"/>
  <c r="D161" i="2"/>
  <c r="M154" i="2"/>
  <c r="L154" i="2"/>
  <c r="K154" i="2"/>
  <c r="J154" i="2"/>
  <c r="I154" i="2"/>
  <c r="H154" i="2"/>
  <c r="G154" i="2"/>
  <c r="F154" i="2"/>
  <c r="E154" i="2"/>
  <c r="C154" i="2"/>
  <c r="B154" i="2"/>
  <c r="D149" i="2"/>
  <c r="D148" i="2"/>
  <c r="D147" i="2"/>
  <c r="D146" i="2"/>
  <c r="D145" i="2"/>
  <c r="D154" i="2" s="1"/>
  <c r="D144" i="2"/>
  <c r="G133" i="2"/>
  <c r="G134" i="2" s="1"/>
  <c r="F133" i="2"/>
  <c r="E133" i="2"/>
  <c r="E134" i="2" s="1"/>
  <c r="M132" i="2"/>
  <c r="M133" i="2" s="1"/>
  <c r="L132" i="2"/>
  <c r="L133" i="2" s="1"/>
  <c r="K132" i="2"/>
  <c r="K133" i="2" s="1"/>
  <c r="J132" i="2"/>
  <c r="J133" i="2" s="1"/>
  <c r="J134" i="2" s="1"/>
  <c r="I132" i="2"/>
  <c r="H132" i="2"/>
  <c r="H133" i="2" s="1"/>
  <c r="H134" i="2" s="1"/>
  <c r="G132" i="2"/>
  <c r="F132" i="2"/>
  <c r="E132" i="2"/>
  <c r="C132" i="2"/>
  <c r="B132" i="2"/>
  <c r="B133" i="2" s="1"/>
  <c r="B134" i="2" s="1"/>
  <c r="D131" i="2"/>
  <c r="D128" i="2"/>
  <c r="D127" i="2"/>
  <c r="D126" i="2"/>
  <c r="D125" i="2"/>
  <c r="D124" i="2"/>
  <c r="D123" i="2"/>
  <c r="D122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K88" i="2"/>
  <c r="E88" i="2"/>
  <c r="E89" i="2" s="1"/>
  <c r="M87" i="2"/>
  <c r="M88" i="2" s="1"/>
  <c r="L87" i="2"/>
  <c r="K87" i="2"/>
  <c r="J87" i="2"/>
  <c r="J88" i="2" s="1"/>
  <c r="J89" i="2" s="1"/>
  <c r="I87" i="2"/>
  <c r="I88" i="2" s="1"/>
  <c r="I89" i="2" s="1"/>
  <c r="H87" i="2"/>
  <c r="H88" i="2" s="1"/>
  <c r="H89" i="2" s="1"/>
  <c r="G87" i="2"/>
  <c r="G88" i="2" s="1"/>
  <c r="G89" i="2" s="1"/>
  <c r="F87" i="2"/>
  <c r="E87" i="2"/>
  <c r="C87" i="2"/>
  <c r="C88" i="2" s="1"/>
  <c r="C89" i="2" s="1"/>
  <c r="B87" i="2"/>
  <c r="B88" i="2" s="1"/>
  <c r="B89" i="2" s="1"/>
  <c r="D83" i="2"/>
  <c r="D82" i="2"/>
  <c r="D81" i="2"/>
  <c r="D80" i="2"/>
  <c r="D87" i="2" s="1"/>
  <c r="D79" i="2"/>
  <c r="D78" i="2"/>
  <c r="D77" i="2"/>
  <c r="D76" i="2"/>
  <c r="M75" i="2"/>
  <c r="L75" i="2"/>
  <c r="K75" i="2"/>
  <c r="J75" i="2"/>
  <c r="I75" i="2"/>
  <c r="H75" i="2"/>
  <c r="G75" i="2"/>
  <c r="F75" i="2"/>
  <c r="E75" i="2"/>
  <c r="C75" i="2"/>
  <c r="B75" i="2"/>
  <c r="D74" i="2"/>
  <c r="D73" i="2"/>
  <c r="D72" i="2"/>
  <c r="D71" i="2"/>
  <c r="D70" i="2"/>
  <c r="D69" i="2"/>
  <c r="D68" i="2"/>
  <c r="D67" i="2"/>
  <c r="D66" i="2"/>
  <c r="D65" i="2"/>
  <c r="M64" i="2"/>
  <c r="L64" i="2"/>
  <c r="K64" i="2"/>
  <c r="J64" i="2"/>
  <c r="I64" i="2"/>
  <c r="H64" i="2"/>
  <c r="G64" i="2"/>
  <c r="F64" i="2"/>
  <c r="E64" i="2"/>
  <c r="C64" i="2"/>
  <c r="B64" i="2"/>
  <c r="D63" i="2"/>
  <c r="D62" i="2"/>
  <c r="D61" i="2"/>
  <c r="D60" i="2"/>
  <c r="D59" i="2"/>
  <c r="D58" i="2"/>
  <c r="D57" i="2"/>
  <c r="D56" i="2"/>
  <c r="D55" i="2"/>
  <c r="D54" i="2"/>
  <c r="D64" i="2" s="1"/>
  <c r="I43" i="2"/>
  <c r="I44" i="2" s="1"/>
  <c r="C43" i="2"/>
  <c r="C44" i="2" s="1"/>
  <c r="M42" i="2"/>
  <c r="L42" i="2"/>
  <c r="K42" i="2"/>
  <c r="K43" i="2" s="1"/>
  <c r="J42" i="2"/>
  <c r="J43" i="2" s="1"/>
  <c r="J44" i="2" s="1"/>
  <c r="I42" i="2"/>
  <c r="H42" i="2"/>
  <c r="H43" i="2" s="1"/>
  <c r="H44" i="2" s="1"/>
  <c r="G42" i="2"/>
  <c r="F42" i="2"/>
  <c r="E42" i="2"/>
  <c r="E43" i="2" s="1"/>
  <c r="E44" i="2" s="1"/>
  <c r="C42" i="2"/>
  <c r="B42" i="2"/>
  <c r="B43" i="2" s="1"/>
  <c r="B44" i="2" s="1"/>
  <c r="D41" i="2"/>
  <c r="D40" i="2"/>
  <c r="D39" i="2"/>
  <c r="D38" i="2"/>
  <c r="D37" i="2"/>
  <c r="D36" i="2"/>
  <c r="D35" i="2"/>
  <c r="D34" i="2"/>
  <c r="D33" i="2"/>
  <c r="D32" i="2"/>
  <c r="D31" i="2"/>
  <c r="D42" i="2" s="1"/>
  <c r="D43" i="2" s="1"/>
  <c r="D44" i="2" s="1"/>
  <c r="M30" i="2"/>
  <c r="L30" i="2"/>
  <c r="K30" i="2"/>
  <c r="J30" i="2"/>
  <c r="I30" i="2"/>
  <c r="H30" i="2"/>
  <c r="G30" i="2"/>
  <c r="F30" i="2"/>
  <c r="E30" i="2"/>
  <c r="C30" i="2"/>
  <c r="B30" i="2"/>
  <c r="D29" i="2"/>
  <c r="D28" i="2"/>
  <c r="D27" i="2"/>
  <c r="D26" i="2"/>
  <c r="D25" i="2"/>
  <c r="D24" i="2"/>
  <c r="D23" i="2"/>
  <c r="D22" i="2"/>
  <c r="D21" i="2"/>
  <c r="D20" i="2"/>
  <c r="D30" i="2" s="1"/>
  <c r="M19" i="2"/>
  <c r="L19" i="2"/>
  <c r="K19" i="2"/>
  <c r="J19" i="2"/>
  <c r="I19" i="2"/>
  <c r="H19" i="2"/>
  <c r="G19" i="2"/>
  <c r="F19" i="2"/>
  <c r="E19" i="2"/>
  <c r="C19" i="2"/>
  <c r="B19" i="2"/>
  <c r="D18" i="2"/>
  <c r="D17" i="2"/>
  <c r="D16" i="2"/>
  <c r="D15" i="2"/>
  <c r="D14" i="2"/>
  <c r="D13" i="2"/>
  <c r="D12" i="2"/>
  <c r="D11" i="2"/>
  <c r="D10" i="2"/>
  <c r="D9" i="2"/>
  <c r="D19" i="2" s="1"/>
  <c r="E539" i="1"/>
  <c r="K538" i="1"/>
  <c r="E538" i="1"/>
  <c r="M537" i="1"/>
  <c r="M538" i="1" s="1"/>
  <c r="L537" i="1"/>
  <c r="L538" i="1" s="1"/>
  <c r="K537" i="1"/>
  <c r="J537" i="1"/>
  <c r="J538" i="1" s="1"/>
  <c r="J539" i="1" s="1"/>
  <c r="I537" i="1"/>
  <c r="I538" i="1" s="1"/>
  <c r="I539" i="1" s="1"/>
  <c r="H537" i="1"/>
  <c r="H538" i="1" s="1"/>
  <c r="H539" i="1" s="1"/>
  <c r="G537" i="1"/>
  <c r="G538" i="1" s="1"/>
  <c r="G539" i="1" s="1"/>
  <c r="E537" i="1"/>
  <c r="C537" i="1"/>
  <c r="C538" i="1" s="1"/>
  <c r="C539" i="1" s="1"/>
  <c r="B537" i="1"/>
  <c r="B538" i="1" s="1"/>
  <c r="B539" i="1" s="1"/>
  <c r="D536" i="1"/>
  <c r="D535" i="1"/>
  <c r="D534" i="1"/>
  <c r="D533" i="1"/>
  <c r="D532" i="1"/>
  <c r="D531" i="1"/>
  <c r="D530" i="1"/>
  <c r="D529" i="1"/>
  <c r="D528" i="1"/>
  <c r="D527" i="1"/>
  <c r="D537" i="1" s="1"/>
  <c r="D526" i="1"/>
  <c r="M525" i="1"/>
  <c r="L525" i="1"/>
  <c r="K525" i="1"/>
  <c r="J525" i="1"/>
  <c r="I525" i="1"/>
  <c r="H525" i="1"/>
  <c r="G525" i="1"/>
  <c r="F525" i="1"/>
  <c r="E525" i="1"/>
  <c r="C525" i="1"/>
  <c r="B525" i="1"/>
  <c r="D524" i="1"/>
  <c r="D523" i="1"/>
  <c r="D522" i="1"/>
  <c r="D521" i="1"/>
  <c r="D520" i="1"/>
  <c r="D519" i="1"/>
  <c r="D518" i="1"/>
  <c r="D517" i="1"/>
  <c r="D516" i="1"/>
  <c r="D515" i="1"/>
  <c r="D525" i="1" s="1"/>
  <c r="M514" i="1"/>
  <c r="L514" i="1"/>
  <c r="K514" i="1"/>
  <c r="J514" i="1"/>
  <c r="I514" i="1"/>
  <c r="H514" i="1"/>
  <c r="G514" i="1"/>
  <c r="F514" i="1"/>
  <c r="F538" i="1" s="1"/>
  <c r="E514" i="1"/>
  <c r="C514" i="1"/>
  <c r="B514" i="1"/>
  <c r="D513" i="1"/>
  <c r="D512" i="1"/>
  <c r="D511" i="1"/>
  <c r="D510" i="1"/>
  <c r="D509" i="1"/>
  <c r="D508" i="1"/>
  <c r="D507" i="1"/>
  <c r="D506" i="1"/>
  <c r="D505" i="1"/>
  <c r="D504" i="1"/>
  <c r="D514" i="1" s="1"/>
  <c r="M492" i="1"/>
  <c r="M493" i="1" s="1"/>
  <c r="L492" i="1"/>
  <c r="L493" i="1" s="1"/>
  <c r="K492" i="1"/>
  <c r="K493" i="1" s="1"/>
  <c r="J492" i="1"/>
  <c r="J493" i="1" s="1"/>
  <c r="J494" i="1" s="1"/>
  <c r="I492" i="1"/>
  <c r="I493" i="1" s="1"/>
  <c r="I494" i="1" s="1"/>
  <c r="H492" i="1"/>
  <c r="H493" i="1" s="1"/>
  <c r="H494" i="1" s="1"/>
  <c r="G492" i="1"/>
  <c r="G493" i="1" s="1"/>
  <c r="G494" i="1" s="1"/>
  <c r="F492" i="1"/>
  <c r="F493" i="1" s="1"/>
  <c r="E492" i="1"/>
  <c r="E493" i="1" s="1"/>
  <c r="E494" i="1" s="1"/>
  <c r="C492" i="1"/>
  <c r="C493" i="1" s="1"/>
  <c r="C494" i="1" s="1"/>
  <c r="B492" i="1"/>
  <c r="B493" i="1" s="1"/>
  <c r="B494" i="1" s="1"/>
  <c r="D490" i="1"/>
  <c r="D489" i="1"/>
  <c r="D488" i="1"/>
  <c r="D487" i="1"/>
  <c r="D486" i="1"/>
  <c r="D485" i="1"/>
  <c r="D484" i="1"/>
  <c r="D483" i="1"/>
  <c r="D482" i="1"/>
  <c r="D481" i="1"/>
  <c r="D492" i="1" s="1"/>
  <c r="M480" i="1"/>
  <c r="L480" i="1"/>
  <c r="K480" i="1"/>
  <c r="J480" i="1"/>
  <c r="I480" i="1"/>
  <c r="H480" i="1"/>
  <c r="G480" i="1"/>
  <c r="F480" i="1"/>
  <c r="E480" i="1"/>
  <c r="C480" i="1"/>
  <c r="B480" i="1"/>
  <c r="D479" i="1"/>
  <c r="D478" i="1"/>
  <c r="D477" i="1"/>
  <c r="D476" i="1"/>
  <c r="D475" i="1"/>
  <c r="D474" i="1"/>
  <c r="D473" i="1"/>
  <c r="D472" i="1"/>
  <c r="D471" i="1"/>
  <c r="D470" i="1"/>
  <c r="D480" i="1" s="1"/>
  <c r="M469" i="1"/>
  <c r="L469" i="1"/>
  <c r="K469" i="1"/>
  <c r="J469" i="1"/>
  <c r="I469" i="1"/>
  <c r="H469" i="1"/>
  <c r="G469" i="1"/>
  <c r="F469" i="1"/>
  <c r="E469" i="1"/>
  <c r="C469" i="1"/>
  <c r="B469" i="1"/>
  <c r="D468" i="1"/>
  <c r="D467" i="1"/>
  <c r="D466" i="1"/>
  <c r="D465" i="1"/>
  <c r="D464" i="1"/>
  <c r="D463" i="1"/>
  <c r="D462" i="1"/>
  <c r="D461" i="1"/>
  <c r="D460" i="1"/>
  <c r="D459" i="1"/>
  <c r="D469" i="1" s="1"/>
  <c r="M447" i="1"/>
  <c r="M448" i="1" s="1"/>
  <c r="L447" i="1"/>
  <c r="L448" i="1" s="1"/>
  <c r="K447" i="1"/>
  <c r="K448" i="1" s="1"/>
  <c r="J447" i="1"/>
  <c r="J448" i="1" s="1"/>
  <c r="J449" i="1" s="1"/>
  <c r="I447" i="1"/>
  <c r="I448" i="1" s="1"/>
  <c r="I449" i="1" s="1"/>
  <c r="H447" i="1"/>
  <c r="H448" i="1" s="1"/>
  <c r="H449" i="1" s="1"/>
  <c r="G447" i="1"/>
  <c r="G448" i="1" s="1"/>
  <c r="G449" i="1" s="1"/>
  <c r="F447" i="1"/>
  <c r="F448" i="1" s="1"/>
  <c r="E447" i="1"/>
  <c r="E448" i="1" s="1"/>
  <c r="E449" i="1" s="1"/>
  <c r="C447" i="1"/>
  <c r="C448" i="1" s="1"/>
  <c r="C449" i="1" s="1"/>
  <c r="B447" i="1"/>
  <c r="B448" i="1" s="1"/>
  <c r="B449" i="1" s="1"/>
  <c r="D446" i="1"/>
  <c r="D445" i="1"/>
  <c r="D444" i="1"/>
  <c r="D443" i="1"/>
  <c r="D442" i="1"/>
  <c r="D441" i="1"/>
  <c r="D440" i="1"/>
  <c r="D439" i="1"/>
  <c r="D438" i="1"/>
  <c r="D437" i="1"/>
  <c r="D436" i="1"/>
  <c r="D447" i="1" s="1"/>
  <c r="L435" i="1"/>
  <c r="K435" i="1"/>
  <c r="J435" i="1"/>
  <c r="I435" i="1"/>
  <c r="H435" i="1"/>
  <c r="G435" i="1"/>
  <c r="F435" i="1"/>
  <c r="E435" i="1"/>
  <c r="C435" i="1"/>
  <c r="B435" i="1"/>
  <c r="D434" i="1"/>
  <c r="D433" i="1"/>
  <c r="D432" i="1"/>
  <c r="D431" i="1"/>
  <c r="D430" i="1"/>
  <c r="D429" i="1"/>
  <c r="D428" i="1"/>
  <c r="D427" i="1"/>
  <c r="D426" i="1"/>
  <c r="D425" i="1"/>
  <c r="D435" i="1" s="1"/>
  <c r="L424" i="1"/>
  <c r="K424" i="1"/>
  <c r="J424" i="1"/>
  <c r="I424" i="1"/>
  <c r="H424" i="1"/>
  <c r="G424" i="1"/>
  <c r="E424" i="1"/>
  <c r="C424" i="1"/>
  <c r="B424" i="1"/>
  <c r="D423" i="1"/>
  <c r="D422" i="1"/>
  <c r="D421" i="1"/>
  <c r="D420" i="1"/>
  <c r="D419" i="1"/>
  <c r="D418" i="1"/>
  <c r="D417" i="1"/>
  <c r="D416" i="1"/>
  <c r="D415" i="1"/>
  <c r="D414" i="1"/>
  <c r="D424" i="1" s="1"/>
  <c r="C403" i="1"/>
  <c r="C404" i="1" s="1"/>
  <c r="M402" i="1"/>
  <c r="L402" i="1"/>
  <c r="K402" i="1"/>
  <c r="J402" i="1"/>
  <c r="J403" i="1" s="1"/>
  <c r="J404" i="1" s="1"/>
  <c r="I402" i="1"/>
  <c r="I403" i="1" s="1"/>
  <c r="I404" i="1" s="1"/>
  <c r="H402" i="1"/>
  <c r="G402" i="1"/>
  <c r="E402" i="1"/>
  <c r="C402" i="1"/>
  <c r="B402" i="1"/>
  <c r="D400" i="1"/>
  <c r="D399" i="1"/>
  <c r="D398" i="1"/>
  <c r="D397" i="1"/>
  <c r="D396" i="1"/>
  <c r="D395" i="1"/>
  <c r="D394" i="1"/>
  <c r="D393" i="1"/>
  <c r="D392" i="1"/>
  <c r="D391" i="1"/>
  <c r="D402" i="1" s="1"/>
  <c r="M390" i="1"/>
  <c r="M403" i="1" s="1"/>
  <c r="L390" i="1"/>
  <c r="L403" i="1" s="1"/>
  <c r="K390" i="1"/>
  <c r="K403" i="1" s="1"/>
  <c r="J390" i="1"/>
  <c r="G390" i="1"/>
  <c r="F390" i="1"/>
  <c r="F403" i="1" s="1"/>
  <c r="E390" i="1"/>
  <c r="E403" i="1" s="1"/>
  <c r="E404" i="1" s="1"/>
  <c r="C390" i="1"/>
  <c r="B390" i="1"/>
  <c r="D389" i="1"/>
  <c r="D388" i="1"/>
  <c r="D387" i="1"/>
  <c r="D386" i="1"/>
  <c r="D385" i="1"/>
  <c r="D384" i="1"/>
  <c r="D383" i="1"/>
  <c r="D382" i="1"/>
  <c r="D381" i="1"/>
  <c r="D380" i="1"/>
  <c r="D390" i="1" s="1"/>
  <c r="M379" i="1"/>
  <c r="L379" i="1"/>
  <c r="K379" i="1"/>
  <c r="J379" i="1"/>
  <c r="I379" i="1"/>
  <c r="H379" i="1"/>
  <c r="H403" i="1" s="1"/>
  <c r="H404" i="1" s="1"/>
  <c r="G379" i="1"/>
  <c r="G403" i="1" s="1"/>
  <c r="G404" i="1" s="1"/>
  <c r="F379" i="1"/>
  <c r="E379" i="1"/>
  <c r="C379" i="1"/>
  <c r="B379" i="1"/>
  <c r="B403" i="1" s="1"/>
  <c r="B404" i="1" s="1"/>
  <c r="D378" i="1"/>
  <c r="D377" i="1"/>
  <c r="D376" i="1"/>
  <c r="D375" i="1"/>
  <c r="D374" i="1"/>
  <c r="D373" i="1"/>
  <c r="D372" i="1"/>
  <c r="D371" i="1"/>
  <c r="D370" i="1"/>
  <c r="D369" i="1"/>
  <c r="D379" i="1" s="1"/>
  <c r="M357" i="1"/>
  <c r="M358" i="1" s="1"/>
  <c r="L357" i="1"/>
  <c r="L358" i="1" s="1"/>
  <c r="K357" i="1"/>
  <c r="K358" i="1" s="1"/>
  <c r="J357" i="1"/>
  <c r="J358" i="1" s="1"/>
  <c r="J359" i="1" s="1"/>
  <c r="I357" i="1"/>
  <c r="I358" i="1" s="1"/>
  <c r="I359" i="1" s="1"/>
  <c r="H357" i="1"/>
  <c r="H358" i="1" s="1"/>
  <c r="H359" i="1" s="1"/>
  <c r="G357" i="1"/>
  <c r="G358" i="1" s="1"/>
  <c r="G359" i="1" s="1"/>
  <c r="F357" i="1"/>
  <c r="F358" i="1" s="1"/>
  <c r="E357" i="1"/>
  <c r="E358" i="1" s="1"/>
  <c r="E359" i="1" s="1"/>
  <c r="C357" i="1"/>
  <c r="C358" i="1" s="1"/>
  <c r="C359" i="1" s="1"/>
  <c r="B357" i="1"/>
  <c r="B358" i="1" s="1"/>
  <c r="B359" i="1" s="1"/>
  <c r="D356" i="1"/>
  <c r="D355" i="1"/>
  <c r="D354" i="1"/>
  <c r="D353" i="1"/>
  <c r="D352" i="1"/>
  <c r="D351" i="1"/>
  <c r="D350" i="1"/>
  <c r="D349" i="1"/>
  <c r="D348" i="1"/>
  <c r="D347" i="1"/>
  <c r="D346" i="1"/>
  <c r="D357" i="1" s="1"/>
  <c r="M345" i="1"/>
  <c r="L345" i="1"/>
  <c r="K345" i="1"/>
  <c r="J345" i="1"/>
  <c r="I345" i="1"/>
  <c r="H345" i="1"/>
  <c r="G345" i="1"/>
  <c r="E345" i="1"/>
  <c r="C345" i="1"/>
  <c r="B345" i="1"/>
  <c r="D344" i="1"/>
  <c r="D343" i="1"/>
  <c r="D342" i="1"/>
  <c r="D341" i="1"/>
  <c r="D340" i="1"/>
  <c r="D339" i="1"/>
  <c r="D338" i="1"/>
  <c r="D337" i="1"/>
  <c r="D336" i="1"/>
  <c r="D335" i="1"/>
  <c r="D345" i="1" s="1"/>
  <c r="M334" i="1"/>
  <c r="L334" i="1"/>
  <c r="K334" i="1"/>
  <c r="J334" i="1"/>
  <c r="I334" i="1"/>
  <c r="H334" i="1"/>
  <c r="G334" i="1"/>
  <c r="E334" i="1"/>
  <c r="C334" i="1"/>
  <c r="B334" i="1"/>
  <c r="D333" i="1"/>
  <c r="D332" i="1"/>
  <c r="D331" i="1"/>
  <c r="D330" i="1"/>
  <c r="D329" i="1"/>
  <c r="D328" i="1"/>
  <c r="D334" i="1" s="1"/>
  <c r="D327" i="1"/>
  <c r="D326" i="1"/>
  <c r="D325" i="1"/>
  <c r="D324" i="1"/>
  <c r="M312" i="1"/>
  <c r="M313" i="1" s="1"/>
  <c r="L312" i="1"/>
  <c r="L313" i="1" s="1"/>
  <c r="K312" i="1"/>
  <c r="K313" i="1" s="1"/>
  <c r="J312" i="1"/>
  <c r="J313" i="1" s="1"/>
  <c r="J314" i="1" s="1"/>
  <c r="I312" i="1"/>
  <c r="I313" i="1" s="1"/>
  <c r="I314" i="1" s="1"/>
  <c r="H312" i="1"/>
  <c r="H313" i="1" s="1"/>
  <c r="H314" i="1" s="1"/>
  <c r="G312" i="1"/>
  <c r="G313" i="1" s="1"/>
  <c r="G314" i="1" s="1"/>
  <c r="F312" i="1"/>
  <c r="F313" i="1" s="1"/>
  <c r="E312" i="1"/>
  <c r="E313" i="1" s="1"/>
  <c r="E314" i="1" s="1"/>
  <c r="C312" i="1"/>
  <c r="C313" i="1" s="1"/>
  <c r="C314" i="1" s="1"/>
  <c r="B312" i="1"/>
  <c r="B313" i="1" s="1"/>
  <c r="B314" i="1" s="1"/>
  <c r="D311" i="1"/>
  <c r="D310" i="1"/>
  <c r="D309" i="1"/>
  <c r="D308" i="1"/>
  <c r="D307" i="1"/>
  <c r="D306" i="1"/>
  <c r="D305" i="1"/>
  <c r="D304" i="1"/>
  <c r="D303" i="1"/>
  <c r="D302" i="1"/>
  <c r="D301" i="1"/>
  <c r="D312" i="1" s="1"/>
  <c r="M300" i="1"/>
  <c r="L300" i="1"/>
  <c r="K300" i="1"/>
  <c r="J300" i="1"/>
  <c r="I300" i="1"/>
  <c r="H300" i="1"/>
  <c r="G300" i="1"/>
  <c r="E300" i="1"/>
  <c r="C300" i="1"/>
  <c r="B300" i="1"/>
  <c r="D299" i="1"/>
  <c r="D298" i="1"/>
  <c r="D297" i="1"/>
  <c r="D296" i="1"/>
  <c r="D295" i="1"/>
  <c r="D294" i="1"/>
  <c r="D293" i="1"/>
  <c r="D292" i="1"/>
  <c r="D291" i="1"/>
  <c r="D290" i="1"/>
  <c r="D300" i="1" s="1"/>
  <c r="M289" i="1"/>
  <c r="L289" i="1"/>
  <c r="K289" i="1"/>
  <c r="J289" i="1"/>
  <c r="I289" i="1"/>
  <c r="H289" i="1"/>
  <c r="G289" i="1"/>
  <c r="E289" i="1"/>
  <c r="C289" i="1"/>
  <c r="B289" i="1"/>
  <c r="D288" i="1"/>
  <c r="D287" i="1"/>
  <c r="D286" i="1"/>
  <c r="D285" i="1"/>
  <c r="D284" i="1"/>
  <c r="D283" i="1"/>
  <c r="D282" i="1"/>
  <c r="D281" i="1"/>
  <c r="D280" i="1"/>
  <c r="D279" i="1"/>
  <c r="D289" i="1" s="1"/>
  <c r="M267" i="1"/>
  <c r="M268" i="1" s="1"/>
  <c r="L267" i="1"/>
  <c r="L268" i="1" s="1"/>
  <c r="K267" i="1"/>
  <c r="K268" i="1" s="1"/>
  <c r="J267" i="1"/>
  <c r="J268" i="1" s="1"/>
  <c r="J269" i="1" s="1"/>
  <c r="I267" i="1"/>
  <c r="I268" i="1" s="1"/>
  <c r="I269" i="1" s="1"/>
  <c r="H267" i="1"/>
  <c r="H268" i="1" s="1"/>
  <c r="H269" i="1" s="1"/>
  <c r="G267" i="1"/>
  <c r="G268" i="1" s="1"/>
  <c r="G269" i="1" s="1"/>
  <c r="F267" i="1"/>
  <c r="F268" i="1" s="1"/>
  <c r="E267" i="1"/>
  <c r="E268" i="1" s="1"/>
  <c r="E269" i="1" s="1"/>
  <c r="C267" i="1"/>
  <c r="C268" i="1" s="1"/>
  <c r="C269" i="1" s="1"/>
  <c r="B267" i="1"/>
  <c r="B268" i="1" s="1"/>
  <c r="B269" i="1" s="1"/>
  <c r="D265" i="1"/>
  <c r="D264" i="1"/>
  <c r="D263" i="1"/>
  <c r="D262" i="1"/>
  <c r="D261" i="1"/>
  <c r="D260" i="1"/>
  <c r="D259" i="1"/>
  <c r="D258" i="1"/>
  <c r="D257" i="1"/>
  <c r="D256" i="1"/>
  <c r="D267" i="1" s="1"/>
  <c r="M255" i="1"/>
  <c r="L255" i="1"/>
  <c r="K255" i="1"/>
  <c r="J255" i="1"/>
  <c r="I255" i="1"/>
  <c r="H255" i="1"/>
  <c r="G255" i="1"/>
  <c r="F255" i="1"/>
  <c r="E255" i="1"/>
  <c r="C255" i="1"/>
  <c r="B255" i="1"/>
  <c r="D254" i="1"/>
  <c r="D253" i="1"/>
  <c r="D252" i="1"/>
  <c r="D251" i="1"/>
  <c r="D250" i="1"/>
  <c r="D249" i="1"/>
  <c r="D248" i="1"/>
  <c r="D247" i="1"/>
  <c r="D246" i="1"/>
  <c r="D245" i="1"/>
  <c r="D255" i="1" s="1"/>
  <c r="M244" i="1"/>
  <c r="L244" i="1"/>
  <c r="K244" i="1"/>
  <c r="J244" i="1"/>
  <c r="I244" i="1"/>
  <c r="H244" i="1"/>
  <c r="G244" i="1"/>
  <c r="F244" i="1"/>
  <c r="E244" i="1"/>
  <c r="C244" i="1"/>
  <c r="B244" i="1"/>
  <c r="D243" i="1"/>
  <c r="D242" i="1"/>
  <c r="D241" i="1"/>
  <c r="D240" i="1"/>
  <c r="D239" i="1"/>
  <c r="D238" i="1"/>
  <c r="D237" i="1"/>
  <c r="D236" i="1"/>
  <c r="D235" i="1"/>
  <c r="D234" i="1"/>
  <c r="D244" i="1" s="1"/>
  <c r="M222" i="1"/>
  <c r="M223" i="1" s="1"/>
  <c r="L222" i="1"/>
  <c r="L223" i="1" s="1"/>
  <c r="K222" i="1"/>
  <c r="K223" i="1" s="1"/>
  <c r="J222" i="1"/>
  <c r="J223" i="1" s="1"/>
  <c r="J224" i="1" s="1"/>
  <c r="I222" i="1"/>
  <c r="I223" i="1" s="1"/>
  <c r="I224" i="1" s="1"/>
  <c r="H222" i="1"/>
  <c r="H223" i="1" s="1"/>
  <c r="H224" i="1" s="1"/>
  <c r="G222" i="1"/>
  <c r="G223" i="1" s="1"/>
  <c r="G224" i="1" s="1"/>
  <c r="F222" i="1"/>
  <c r="F223" i="1" s="1"/>
  <c r="E222" i="1"/>
  <c r="E223" i="1" s="1"/>
  <c r="E224" i="1" s="1"/>
  <c r="C222" i="1"/>
  <c r="C223" i="1" s="1"/>
  <c r="C224" i="1" s="1"/>
  <c r="B222" i="1"/>
  <c r="B223" i="1" s="1"/>
  <c r="B224" i="1" s="1"/>
  <c r="D221" i="1"/>
  <c r="D220" i="1"/>
  <c r="D219" i="1"/>
  <c r="D218" i="1"/>
  <c r="D217" i="1"/>
  <c r="D216" i="1"/>
  <c r="D215" i="1"/>
  <c r="D214" i="1"/>
  <c r="D213" i="1"/>
  <c r="D212" i="1"/>
  <c r="D222" i="1" s="1"/>
  <c r="D223" i="1" s="1"/>
  <c r="D224" i="1" s="1"/>
  <c r="D211" i="1"/>
  <c r="M210" i="1"/>
  <c r="L210" i="1"/>
  <c r="K210" i="1"/>
  <c r="J210" i="1"/>
  <c r="I210" i="1"/>
  <c r="H210" i="1"/>
  <c r="G210" i="1"/>
  <c r="F210" i="1"/>
  <c r="E210" i="1"/>
  <c r="C210" i="1"/>
  <c r="B210" i="1"/>
  <c r="D209" i="1"/>
  <c r="D208" i="1"/>
  <c r="D207" i="1"/>
  <c r="D206" i="1"/>
  <c r="D205" i="1"/>
  <c r="D204" i="1"/>
  <c r="D203" i="1"/>
  <c r="D202" i="1"/>
  <c r="D201" i="1"/>
  <c r="D200" i="1"/>
  <c r="D210" i="1" s="1"/>
  <c r="M199" i="1"/>
  <c r="L199" i="1"/>
  <c r="K199" i="1"/>
  <c r="J199" i="1"/>
  <c r="I199" i="1"/>
  <c r="H199" i="1"/>
  <c r="G199" i="1"/>
  <c r="F199" i="1"/>
  <c r="E199" i="1"/>
  <c r="C199" i="1"/>
  <c r="B199" i="1"/>
  <c r="D198" i="1"/>
  <c r="D197" i="1"/>
  <c r="D196" i="1"/>
  <c r="D195" i="1"/>
  <c r="D194" i="1"/>
  <c r="D193" i="1"/>
  <c r="D192" i="1"/>
  <c r="D191" i="1"/>
  <c r="D190" i="1"/>
  <c r="D189" i="1"/>
  <c r="D199" i="1" s="1"/>
  <c r="M177" i="1"/>
  <c r="M178" i="1" s="1"/>
  <c r="L177" i="1"/>
  <c r="L178" i="1" s="1"/>
  <c r="K177" i="1"/>
  <c r="K178" i="1" s="1"/>
  <c r="J177" i="1"/>
  <c r="J178" i="1" s="1"/>
  <c r="J179" i="1" s="1"/>
  <c r="I177" i="1"/>
  <c r="I178" i="1" s="1"/>
  <c r="I179" i="1" s="1"/>
  <c r="H177" i="1"/>
  <c r="H178" i="1" s="1"/>
  <c r="H179" i="1" s="1"/>
  <c r="G177" i="1"/>
  <c r="G178" i="1" s="1"/>
  <c r="G179" i="1" s="1"/>
  <c r="F177" i="1"/>
  <c r="F178" i="1" s="1"/>
  <c r="E177" i="1"/>
  <c r="E178" i="1" s="1"/>
  <c r="E179" i="1" s="1"/>
  <c r="C177" i="1"/>
  <c r="C178" i="1" s="1"/>
  <c r="C179" i="1" s="1"/>
  <c r="B177" i="1"/>
  <c r="B178" i="1" s="1"/>
  <c r="B179" i="1" s="1"/>
  <c r="D175" i="1"/>
  <c r="D174" i="1"/>
  <c r="D173" i="1"/>
  <c r="D172" i="1"/>
  <c r="D171" i="1"/>
  <c r="D170" i="1"/>
  <c r="D169" i="1"/>
  <c r="D168" i="1"/>
  <c r="D167" i="1"/>
  <c r="D166" i="1"/>
  <c r="D177" i="1" s="1"/>
  <c r="M165" i="1"/>
  <c r="L165" i="1"/>
  <c r="K165" i="1"/>
  <c r="J165" i="1"/>
  <c r="I165" i="1"/>
  <c r="H165" i="1"/>
  <c r="G165" i="1"/>
  <c r="F165" i="1"/>
  <c r="E165" i="1"/>
  <c r="C165" i="1"/>
  <c r="B165" i="1"/>
  <c r="D164" i="1"/>
  <c r="D163" i="1"/>
  <c r="D162" i="1"/>
  <c r="D161" i="1"/>
  <c r="D160" i="1"/>
  <c r="D159" i="1"/>
  <c r="D158" i="1"/>
  <c r="D157" i="1"/>
  <c r="D156" i="1"/>
  <c r="D155" i="1"/>
  <c r="D165" i="1" s="1"/>
  <c r="M154" i="1"/>
  <c r="L154" i="1"/>
  <c r="K154" i="1"/>
  <c r="J154" i="1"/>
  <c r="I154" i="1"/>
  <c r="H154" i="1"/>
  <c r="G154" i="1"/>
  <c r="F154" i="1"/>
  <c r="E154" i="1"/>
  <c r="C154" i="1"/>
  <c r="B154" i="1"/>
  <c r="D153" i="1"/>
  <c r="D152" i="1"/>
  <c r="D151" i="1"/>
  <c r="D150" i="1"/>
  <c r="D149" i="1"/>
  <c r="D148" i="1"/>
  <c r="D147" i="1"/>
  <c r="D146" i="1"/>
  <c r="D145" i="1"/>
  <c r="D144" i="1"/>
  <c r="D154" i="1" s="1"/>
  <c r="M132" i="1"/>
  <c r="L132" i="1"/>
  <c r="L133" i="1" s="1"/>
  <c r="K132" i="1"/>
  <c r="K133" i="1" s="1"/>
  <c r="J132" i="1"/>
  <c r="I132" i="1"/>
  <c r="H132" i="1"/>
  <c r="G132" i="1"/>
  <c r="F132" i="1"/>
  <c r="F133" i="1" s="1"/>
  <c r="E132" i="1"/>
  <c r="E133" i="1" s="1"/>
  <c r="E134" i="1" s="1"/>
  <c r="C132" i="1"/>
  <c r="B132" i="1"/>
  <c r="D131" i="1"/>
  <c r="D130" i="1"/>
  <c r="D129" i="1"/>
  <c r="D128" i="1"/>
  <c r="D127" i="1"/>
  <c r="D126" i="1"/>
  <c r="D125" i="1"/>
  <c r="D124" i="1"/>
  <c r="D123" i="1"/>
  <c r="D122" i="1"/>
  <c r="D132" i="1" s="1"/>
  <c r="D121" i="1"/>
  <c r="M120" i="1"/>
  <c r="L120" i="1"/>
  <c r="K120" i="1"/>
  <c r="J120" i="1"/>
  <c r="J133" i="1" s="1"/>
  <c r="J134" i="1" s="1"/>
  <c r="I120" i="1"/>
  <c r="H120" i="1"/>
  <c r="G120" i="1"/>
  <c r="F120" i="1"/>
  <c r="E120" i="1"/>
  <c r="C120" i="1"/>
  <c r="B120" i="1"/>
  <c r="D119" i="1"/>
  <c r="D118" i="1"/>
  <c r="D117" i="1"/>
  <c r="D116" i="1"/>
  <c r="D115" i="1"/>
  <c r="D114" i="1"/>
  <c r="D113" i="1"/>
  <c r="D112" i="1"/>
  <c r="D111" i="1"/>
  <c r="D110" i="1"/>
  <c r="D120" i="1" s="1"/>
  <c r="M109" i="1"/>
  <c r="M133" i="1" s="1"/>
  <c r="L109" i="1"/>
  <c r="K109" i="1"/>
  <c r="J109" i="1"/>
  <c r="I109" i="1"/>
  <c r="I133" i="1" s="1"/>
  <c r="I134" i="1" s="1"/>
  <c r="H109" i="1"/>
  <c r="H133" i="1" s="1"/>
  <c r="H134" i="1" s="1"/>
  <c r="G109" i="1"/>
  <c r="G133" i="1" s="1"/>
  <c r="G134" i="1" s="1"/>
  <c r="F109" i="1"/>
  <c r="E109" i="1"/>
  <c r="C109" i="1"/>
  <c r="C133" i="1" s="1"/>
  <c r="C134" i="1" s="1"/>
  <c r="B109" i="1"/>
  <c r="B133" i="1" s="1"/>
  <c r="B134" i="1" s="1"/>
  <c r="D108" i="1"/>
  <c r="D107" i="1"/>
  <c r="D106" i="1"/>
  <c r="D105" i="1"/>
  <c r="D104" i="1"/>
  <c r="D103" i="1"/>
  <c r="D102" i="1"/>
  <c r="D101" i="1"/>
  <c r="D100" i="1"/>
  <c r="D99" i="1"/>
  <c r="D109" i="1" s="1"/>
  <c r="M87" i="1"/>
  <c r="M88" i="1" s="1"/>
  <c r="L87" i="1"/>
  <c r="L88" i="1" s="1"/>
  <c r="K87" i="1"/>
  <c r="K88" i="1" s="1"/>
  <c r="J87" i="1"/>
  <c r="J88" i="1" s="1"/>
  <c r="J89" i="1" s="1"/>
  <c r="I87" i="1"/>
  <c r="I88" i="1" s="1"/>
  <c r="I89" i="1" s="1"/>
  <c r="H87" i="1"/>
  <c r="H88" i="1" s="1"/>
  <c r="H89" i="1" s="1"/>
  <c r="G87" i="1"/>
  <c r="G88" i="1" s="1"/>
  <c r="G89" i="1" s="1"/>
  <c r="F87" i="1"/>
  <c r="F88" i="1" s="1"/>
  <c r="E87" i="1"/>
  <c r="E88" i="1" s="1"/>
  <c r="E89" i="1" s="1"/>
  <c r="C87" i="1"/>
  <c r="C88" i="1" s="1"/>
  <c r="C89" i="1" s="1"/>
  <c r="B87" i="1"/>
  <c r="B88" i="1" s="1"/>
  <c r="B89" i="1" s="1"/>
  <c r="D84" i="1"/>
  <c r="D83" i="1"/>
  <c r="D82" i="1"/>
  <c r="D81" i="1"/>
  <c r="D80" i="1"/>
  <c r="D79" i="1"/>
  <c r="D78" i="1"/>
  <c r="D87" i="1" s="1"/>
  <c r="D77" i="1"/>
  <c r="D76" i="1"/>
  <c r="M75" i="1"/>
  <c r="L75" i="1"/>
  <c r="K75" i="1"/>
  <c r="J75" i="1"/>
  <c r="I75" i="1"/>
  <c r="H75" i="1"/>
  <c r="G75" i="1"/>
  <c r="F75" i="1"/>
  <c r="E75" i="1"/>
  <c r="C75" i="1"/>
  <c r="B75" i="1"/>
  <c r="D74" i="1"/>
  <c r="D73" i="1"/>
  <c r="D72" i="1"/>
  <c r="D71" i="1"/>
  <c r="D70" i="1"/>
  <c r="D69" i="1"/>
  <c r="D68" i="1"/>
  <c r="D67" i="1"/>
  <c r="D66" i="1"/>
  <c r="D65" i="1"/>
  <c r="D75" i="1" s="1"/>
  <c r="M64" i="1"/>
  <c r="L64" i="1"/>
  <c r="K64" i="1"/>
  <c r="J64" i="1"/>
  <c r="I64" i="1"/>
  <c r="H64" i="1"/>
  <c r="G64" i="1"/>
  <c r="F64" i="1"/>
  <c r="E64" i="1"/>
  <c r="C64" i="1"/>
  <c r="B64" i="1"/>
  <c r="D63" i="1"/>
  <c r="D62" i="1"/>
  <c r="D61" i="1"/>
  <c r="D60" i="1"/>
  <c r="D59" i="1"/>
  <c r="D58" i="1"/>
  <c r="D57" i="1"/>
  <c r="D56" i="1"/>
  <c r="D55" i="1"/>
  <c r="D54" i="1"/>
  <c r="D64" i="1" s="1"/>
  <c r="M42" i="1"/>
  <c r="M43" i="1" s="1"/>
  <c r="L42" i="1"/>
  <c r="L43" i="1" s="1"/>
  <c r="K42" i="1"/>
  <c r="K43" i="1" s="1"/>
  <c r="J42" i="1"/>
  <c r="J43" i="1" s="1"/>
  <c r="J44" i="1" s="1"/>
  <c r="I42" i="1"/>
  <c r="I43" i="1" s="1"/>
  <c r="I44" i="1" s="1"/>
  <c r="H42" i="1"/>
  <c r="H43" i="1" s="1"/>
  <c r="H44" i="1" s="1"/>
  <c r="G42" i="1"/>
  <c r="G43" i="1" s="1"/>
  <c r="G44" i="1" s="1"/>
  <c r="F42" i="1"/>
  <c r="F43" i="1" s="1"/>
  <c r="E42" i="1"/>
  <c r="E43" i="1" s="1"/>
  <c r="E44" i="1" s="1"/>
  <c r="C42" i="1"/>
  <c r="C43" i="1" s="1"/>
  <c r="C44" i="1" s="1"/>
  <c r="B42" i="1"/>
  <c r="B43" i="1" s="1"/>
  <c r="B44" i="1" s="1"/>
  <c r="D41" i="1"/>
  <c r="D40" i="1"/>
  <c r="D39" i="1"/>
  <c r="D38" i="1"/>
  <c r="D37" i="1"/>
  <c r="D36" i="1"/>
  <c r="D35" i="1"/>
  <c r="D34" i="1"/>
  <c r="D33" i="1"/>
  <c r="D32" i="1"/>
  <c r="D31" i="1"/>
  <c r="D42" i="1" s="1"/>
  <c r="M30" i="1"/>
  <c r="L30" i="1"/>
  <c r="K30" i="1"/>
  <c r="J30" i="1"/>
  <c r="I30" i="1"/>
  <c r="H30" i="1"/>
  <c r="G30" i="1"/>
  <c r="F30" i="1"/>
  <c r="E30" i="1"/>
  <c r="C30" i="1"/>
  <c r="B30" i="1"/>
  <c r="D29" i="1"/>
  <c r="D28" i="1"/>
  <c r="D27" i="1"/>
  <c r="D26" i="1"/>
  <c r="D25" i="1"/>
  <c r="D24" i="1"/>
  <c r="D23" i="1"/>
  <c r="D22" i="1"/>
  <c r="D21" i="1"/>
  <c r="D20" i="1"/>
  <c r="D30" i="1" s="1"/>
  <c r="M19" i="1"/>
  <c r="L19" i="1"/>
  <c r="K19" i="1"/>
  <c r="J19" i="1"/>
  <c r="I19" i="1"/>
  <c r="H19" i="1"/>
  <c r="G19" i="1"/>
  <c r="F19" i="1"/>
  <c r="E19" i="1"/>
  <c r="C19" i="1"/>
  <c r="B19" i="1"/>
  <c r="D18" i="1"/>
  <c r="D17" i="1"/>
  <c r="D16" i="1"/>
  <c r="D15" i="1"/>
  <c r="D14" i="1"/>
  <c r="D13" i="1"/>
  <c r="D12" i="1"/>
  <c r="D11" i="1"/>
  <c r="D10" i="1"/>
  <c r="D9" i="1"/>
  <c r="D19" i="1" s="1"/>
  <c r="D165" i="2" l="1"/>
  <c r="D178" i="2" s="1"/>
  <c r="D179" i="2" s="1"/>
  <c r="F403" i="2"/>
  <c r="F43" i="2"/>
  <c r="L43" i="2"/>
  <c r="D222" i="2"/>
  <c r="D223" i="2" s="1"/>
  <c r="D224" i="2" s="1"/>
  <c r="C223" i="2"/>
  <c r="C224" i="2" s="1"/>
  <c r="J223" i="2"/>
  <c r="J224" i="2" s="1"/>
  <c r="D268" i="2"/>
  <c r="D269" i="2" s="1"/>
  <c r="G403" i="2"/>
  <c r="G404" i="2" s="1"/>
  <c r="G43" i="2"/>
  <c r="G44" i="2" s="1"/>
  <c r="M43" i="2"/>
  <c r="F88" i="2"/>
  <c r="O178" i="2" s="1"/>
  <c r="L88" i="2"/>
  <c r="D132" i="2"/>
  <c r="D133" i="2" s="1"/>
  <c r="D134" i="2" s="1"/>
  <c r="L178" i="2"/>
  <c r="E223" i="2"/>
  <c r="E224" i="2" s="1"/>
  <c r="K223" i="2"/>
  <c r="D255" i="2"/>
  <c r="B403" i="2"/>
  <c r="B404" i="2" s="1"/>
  <c r="I133" i="2"/>
  <c r="I134" i="2" s="1"/>
  <c r="D210" i="2"/>
  <c r="H313" i="2"/>
  <c r="H314" i="2" s="1"/>
  <c r="H358" i="2"/>
  <c r="H359" i="2" s="1"/>
  <c r="H448" i="2"/>
  <c r="H449" i="2" s="1"/>
  <c r="F538" i="2"/>
  <c r="D75" i="2"/>
  <c r="D88" i="2" s="1"/>
  <c r="D89" i="2" s="1"/>
  <c r="C133" i="2"/>
  <c r="C134" i="2" s="1"/>
  <c r="B313" i="2"/>
  <c r="B314" i="2" s="1"/>
  <c r="B358" i="2"/>
  <c r="B359" i="2" s="1"/>
  <c r="C448" i="2"/>
  <c r="C449" i="2" s="1"/>
  <c r="I448" i="2"/>
  <c r="I449" i="2" s="1"/>
  <c r="D43" i="1"/>
  <c r="D44" i="1" s="1"/>
  <c r="D88" i="1"/>
  <c r="D89" i="1" s="1"/>
  <c r="D133" i="1"/>
  <c r="D134" i="1" s="1"/>
  <c r="D313" i="1"/>
  <c r="D314" i="1" s="1"/>
  <c r="D538" i="1"/>
  <c r="D539" i="1" s="1"/>
  <c r="D268" i="1"/>
  <c r="D269" i="1" s="1"/>
  <c r="D358" i="1"/>
  <c r="D359" i="1" s="1"/>
  <c r="D403" i="1"/>
  <c r="D404" i="1" s="1"/>
  <c r="D493" i="1"/>
  <c r="D494" i="1" s="1"/>
  <c r="D178" i="1"/>
  <c r="D179" i="1" s="1"/>
  <c r="D448" i="1"/>
  <c r="D449" i="1" s="1"/>
  <c r="K334" i="2" l="1"/>
  <c r="K35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Heintze</author>
  </authors>
  <commentList>
    <comment ref="A1" authorId="0" shapeId="0" xr:uid="{9EC2B2F8-BAB2-4D8A-8072-2B4D24E962B4}">
      <text>
        <r>
          <rPr>
            <b/>
            <sz val="9"/>
            <color indexed="81"/>
            <rFont val="Tahoma"/>
            <family val="2"/>
          </rPr>
          <t>Sebastian Heintze:</t>
        </r>
        <r>
          <rPr>
            <sz val="9"/>
            <color indexed="81"/>
            <rFont val="Tahoma"/>
            <family val="2"/>
          </rPr>
          <t xml:space="preserve">
Data from the meteroligical station on the research station. Data is collected manually on a daily basis.</t>
        </r>
      </text>
    </comment>
  </commentList>
</comments>
</file>

<file path=xl/sharedStrings.xml><?xml version="1.0" encoding="utf-8"?>
<sst xmlns="http://schemas.openxmlformats.org/spreadsheetml/2006/main" count="1007" uniqueCount="71">
  <si>
    <t xml:space="preserve">  OFFICE REGIONAL DE MISE EN VALEUR</t>
  </si>
  <si>
    <t xml:space="preserve">               </t>
  </si>
  <si>
    <t xml:space="preserve">            AGRICOLE DE LA MOULOUYA</t>
  </si>
  <si>
    <t xml:space="preserve">             PRAVINCE       :   BERKANE</t>
  </si>
  <si>
    <t xml:space="preserve">  SERVICE DE LA PRODUCTION AGRICOLE</t>
  </si>
  <si>
    <t xml:space="preserve">             ANNEE            :    2024</t>
  </si>
  <si>
    <t xml:space="preserve">             SEMVA DE SLIMANIA</t>
  </si>
  <si>
    <t xml:space="preserve">             MOIS               :  </t>
  </si>
  <si>
    <t>JANVIER</t>
  </si>
  <si>
    <r>
      <t xml:space="preserve">                                                                                                          </t>
    </r>
    <r>
      <rPr>
        <b/>
        <sz val="18"/>
        <color theme="1"/>
        <rFont val="Algerian"/>
        <family val="5"/>
      </rPr>
      <t>OBSERVATIONS METEOROLOGIQUES</t>
    </r>
  </si>
  <si>
    <t>DATES</t>
  </si>
  <si>
    <t>Température (°c )</t>
  </si>
  <si>
    <t>Pluvio</t>
  </si>
  <si>
    <t>Humidité de l’air</t>
  </si>
  <si>
    <t>Vitesse de</t>
  </si>
  <si>
    <t>Evaporation</t>
  </si>
  <si>
    <t>Durée</t>
  </si>
  <si>
    <t>Max</t>
  </si>
  <si>
    <t>Mini</t>
  </si>
  <si>
    <t>Moy</t>
  </si>
  <si>
    <t>Métrie</t>
  </si>
  <si>
    <t>(  % )</t>
  </si>
  <si>
    <t>vent</t>
  </si>
  <si>
    <t>( mm )</t>
  </si>
  <si>
    <t>insolat</t>
  </si>
  <si>
    <t>S/Ab</t>
  </si>
  <si>
    <t>sol</t>
  </si>
  <si>
    <t>(mm)</t>
  </si>
  <si>
    <t>8 H</t>
  </si>
  <si>
    <t>12 H</t>
  </si>
  <si>
    <t>17 H</t>
  </si>
  <si>
    <t>( m/s )</t>
  </si>
  <si>
    <t>Piche</t>
  </si>
  <si>
    <t>BacA</t>
  </si>
  <si>
    <t>( h )</t>
  </si>
  <si>
    <t>Décade</t>
  </si>
  <si>
    <t>Total</t>
  </si>
  <si>
    <t>3 Jrs</t>
  </si>
  <si>
    <t>FEVRIER</t>
  </si>
  <si>
    <r>
      <t xml:space="preserve">                                                                                                                                                                                                </t>
    </r>
    <r>
      <rPr>
        <b/>
        <sz val="18"/>
        <color theme="1"/>
        <rFont val="Algerian"/>
        <family val="5"/>
      </rPr>
      <t>OBSERVATIONS METEOROLOGIQUES</t>
    </r>
  </si>
  <si>
    <t>8 JRS</t>
  </si>
  <si>
    <t>MARS</t>
  </si>
  <si>
    <t>7 Jrs</t>
  </si>
  <si>
    <t>AVRIL</t>
  </si>
  <si>
    <t>8 jrs</t>
  </si>
  <si>
    <t>MAI</t>
  </si>
  <si>
    <t>0 Jours</t>
  </si>
  <si>
    <r>
      <t xml:space="preserve">             MOIS               :   </t>
    </r>
    <r>
      <rPr>
        <b/>
        <sz val="12"/>
        <color rgb="FFFF0000"/>
        <rFont val="Calibri"/>
        <family val="2"/>
        <scheme val="minor"/>
      </rPr>
      <t xml:space="preserve"> JUIN</t>
    </r>
  </si>
  <si>
    <t>1 jr</t>
  </si>
  <si>
    <t>JUILLET</t>
  </si>
  <si>
    <t>1 jrs</t>
  </si>
  <si>
    <r>
      <t xml:space="preserve">             MOIS               :    </t>
    </r>
    <r>
      <rPr>
        <b/>
        <sz val="16"/>
        <color rgb="FFFF0000"/>
        <rFont val="Calibri"/>
        <family val="2"/>
        <scheme val="minor"/>
      </rPr>
      <t>08</t>
    </r>
  </si>
  <si>
    <t>2 jrs</t>
  </si>
  <si>
    <t>SEPTEMBRE</t>
  </si>
  <si>
    <t>Max+Min/2</t>
  </si>
  <si>
    <t>1 Jrs</t>
  </si>
  <si>
    <t xml:space="preserve">             PROVINCE       :   BERKANE</t>
  </si>
  <si>
    <t>OCTOBRE</t>
  </si>
  <si>
    <t>NOVEMBRE</t>
  </si>
  <si>
    <t>0 Jrs</t>
  </si>
  <si>
    <t>DECEMBRE</t>
  </si>
  <si>
    <t xml:space="preserve">             ANNEE            :    2025</t>
  </si>
  <si>
    <t>6 Jrs</t>
  </si>
  <si>
    <t>5 JRS</t>
  </si>
  <si>
    <t>3 Jours</t>
  </si>
  <si>
    <t>5 Jours</t>
  </si>
  <si>
    <t xml:space="preserve">             MOIS               :    JUIN</t>
  </si>
  <si>
    <t>AOUT</t>
  </si>
  <si>
    <t>8 Jrs</t>
  </si>
  <si>
    <t>4 Jrs</t>
  </si>
  <si>
    <t>2 Jrs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</si>
</sst>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Algerian"/>
      <family val="5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48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1" fillId="0" borderId="0" xfId="0" applyFont="1"/>
    <xf numFmtId="0" fontId="2" fillId="0" borderId="4" xfId="0" applyFont="1" applyBorder="1"/>
    <xf numFmtId="0" fontId="2" fillId="0" borderId="0" xfId="0" applyFont="1"/>
    <xf numFmtId="0" fontId="1" fillId="0" borderId="5" xfId="0" applyFont="1" applyBorder="1"/>
    <xf numFmtId="0" fontId="2" fillId="0" borderId="3" xfId="0" applyFont="1" applyBorder="1"/>
    <xf numFmtId="0" fontId="3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" fillId="0" borderId="8" xfId="0" applyFont="1" applyBorder="1"/>
    <xf numFmtId="0" fontId="3" fillId="0" borderId="7" xfId="0" applyFont="1" applyBorder="1"/>
    <xf numFmtId="0" fontId="2" fillId="0" borderId="8" xfId="0" applyFont="1" applyBorder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4" fontId="2" fillId="0" borderId="23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30" xfId="0" applyFont="1" applyBorder="1"/>
    <xf numFmtId="164" fontId="1" fillId="0" borderId="31" xfId="0" applyNumberFormat="1" applyFont="1" applyBorder="1"/>
    <xf numFmtId="164" fontId="6" fillId="0" borderId="32" xfId="0" applyNumberFormat="1" applyFont="1" applyBorder="1"/>
    <xf numFmtId="164" fontId="1" fillId="0" borderId="32" xfId="0" applyNumberFormat="1" applyFont="1" applyBorder="1"/>
    <xf numFmtId="164" fontId="1" fillId="0" borderId="33" xfId="0" applyNumberFormat="1" applyFont="1" applyBorder="1"/>
    <xf numFmtId="164" fontId="1" fillId="0" borderId="34" xfId="0" applyNumberFormat="1" applyFont="1" applyBorder="1"/>
    <xf numFmtId="0" fontId="1" fillId="0" borderId="35" xfId="0" applyFont="1" applyBorder="1"/>
    <xf numFmtId="1" fontId="1" fillId="0" borderId="36" xfId="0" applyNumberFormat="1" applyFont="1" applyBorder="1"/>
    <xf numFmtId="1" fontId="1" fillId="0" borderId="37" xfId="0" applyNumberFormat="1" applyFont="1" applyBorder="1"/>
    <xf numFmtId="2" fontId="1" fillId="0" borderId="12" xfId="0" applyNumberFormat="1" applyFont="1" applyBorder="1" applyAlignment="1">
      <alignment horizontal="center"/>
    </xf>
    <xf numFmtId="164" fontId="1" fillId="0" borderId="30" xfId="0" applyNumberFormat="1" applyFont="1" applyBorder="1"/>
    <xf numFmtId="164" fontId="1" fillId="0" borderId="38" xfId="0" applyNumberFormat="1" applyFont="1" applyBorder="1" applyAlignment="1">
      <alignment vertical="center"/>
    </xf>
    <xf numFmtId="0" fontId="1" fillId="0" borderId="39" xfId="0" applyFont="1" applyBorder="1"/>
    <xf numFmtId="164" fontId="1" fillId="0" borderId="40" xfId="0" applyNumberFormat="1" applyFont="1" applyBorder="1"/>
    <xf numFmtId="164" fontId="6" fillId="0" borderId="38" xfId="0" applyNumberFormat="1" applyFont="1" applyBorder="1"/>
    <xf numFmtId="164" fontId="1" fillId="0" borderId="41" xfId="0" applyNumberFormat="1" applyFont="1" applyBorder="1"/>
    <xf numFmtId="164" fontId="1" fillId="0" borderId="42" xfId="0" applyNumberFormat="1" applyFont="1" applyBorder="1"/>
    <xf numFmtId="0" fontId="1" fillId="0" borderId="40" xfId="0" applyFont="1" applyBorder="1"/>
    <xf numFmtId="1" fontId="1" fillId="0" borderId="38" xfId="0" applyNumberFormat="1" applyFont="1" applyBorder="1"/>
    <xf numFmtId="1" fontId="1" fillId="0" borderId="41" xfId="0" applyNumberFormat="1" applyFont="1" applyBorder="1"/>
    <xf numFmtId="2" fontId="1" fillId="0" borderId="43" xfId="0" applyNumberFormat="1" applyFont="1" applyBorder="1" applyAlignment="1">
      <alignment horizontal="center"/>
    </xf>
    <xf numFmtId="164" fontId="1" fillId="0" borderId="39" xfId="0" applyNumberFormat="1" applyFont="1" applyBorder="1"/>
    <xf numFmtId="164" fontId="1" fillId="0" borderId="38" xfId="0" applyNumberFormat="1" applyFont="1" applyBorder="1"/>
    <xf numFmtId="164" fontId="6" fillId="0" borderId="41" xfId="0" applyNumberFormat="1" applyFont="1" applyBorder="1"/>
    <xf numFmtId="0" fontId="1" fillId="0" borderId="41" xfId="0" applyFont="1" applyBorder="1"/>
    <xf numFmtId="0" fontId="1" fillId="0" borderId="44" xfId="0" applyFont="1" applyBorder="1"/>
    <xf numFmtId="164" fontId="1" fillId="0" borderId="45" xfId="0" applyNumberFormat="1" applyFont="1" applyBorder="1"/>
    <xf numFmtId="0" fontId="1" fillId="0" borderId="46" xfId="0" applyFont="1" applyBorder="1"/>
    <xf numFmtId="1" fontId="1" fillId="0" borderId="47" xfId="0" applyNumberFormat="1" applyFont="1" applyBorder="1"/>
    <xf numFmtId="1" fontId="1" fillId="0" borderId="48" xfId="0" applyNumberFormat="1" applyFont="1" applyBorder="1"/>
    <xf numFmtId="0" fontId="1" fillId="2" borderId="49" xfId="0" applyFont="1" applyFill="1" applyBorder="1"/>
    <xf numFmtId="164" fontId="1" fillId="2" borderId="50" xfId="0" applyNumberFormat="1" applyFont="1" applyFill="1" applyBorder="1" applyAlignment="1">
      <alignment horizontal="center"/>
    </xf>
    <xf numFmtId="164" fontId="1" fillId="2" borderId="51" xfId="0" applyNumberFormat="1" applyFont="1" applyFill="1" applyBorder="1" applyAlignment="1">
      <alignment horizontal="center"/>
    </xf>
    <xf numFmtId="164" fontId="1" fillId="2" borderId="52" xfId="0" applyNumberFormat="1" applyFont="1" applyFill="1" applyBorder="1" applyAlignment="1">
      <alignment horizontal="center"/>
    </xf>
    <xf numFmtId="1" fontId="1" fillId="2" borderId="53" xfId="0" applyNumberFormat="1" applyFont="1" applyFill="1" applyBorder="1" applyAlignment="1">
      <alignment horizontal="center"/>
    </xf>
    <xf numFmtId="1" fontId="1" fillId="2" borderId="51" xfId="0" applyNumberFormat="1" applyFont="1" applyFill="1" applyBorder="1" applyAlignment="1">
      <alignment horizontal="center"/>
    </xf>
    <xf numFmtId="1" fontId="1" fillId="2" borderId="54" xfId="0" applyNumberFormat="1" applyFont="1" applyFill="1" applyBorder="1" applyAlignment="1">
      <alignment horizontal="center"/>
    </xf>
    <xf numFmtId="2" fontId="1" fillId="2" borderId="52" xfId="0" applyNumberFormat="1" applyFont="1" applyFill="1" applyBorder="1" applyAlignment="1">
      <alignment horizontal="center"/>
    </xf>
    <xf numFmtId="164" fontId="1" fillId="2" borderId="55" xfId="0" applyNumberFormat="1" applyFont="1" applyFill="1" applyBorder="1" applyAlignment="1">
      <alignment horizontal="center"/>
    </xf>
    <xf numFmtId="164" fontId="1" fillId="2" borderId="14" xfId="0" applyNumberFormat="1" applyFont="1" applyFill="1" applyBorder="1" applyAlignment="1">
      <alignment horizontal="center"/>
    </xf>
    <xf numFmtId="164" fontId="1" fillId="0" borderId="34" xfId="0" applyNumberFormat="1" applyFont="1" applyBorder="1" applyAlignment="1">
      <alignment horizontal="center"/>
    </xf>
    <xf numFmtId="0" fontId="1" fillId="0" borderId="31" xfId="0" applyFont="1" applyBorder="1"/>
    <xf numFmtId="1" fontId="1" fillId="0" borderId="32" xfId="0" applyNumberFormat="1" applyFont="1" applyBorder="1"/>
    <xf numFmtId="1" fontId="1" fillId="0" borderId="33" xfId="0" applyNumberFormat="1" applyFont="1" applyBorder="1"/>
    <xf numFmtId="0" fontId="1" fillId="0" borderId="56" xfId="0" applyFont="1" applyBorder="1"/>
    <xf numFmtId="0" fontId="1" fillId="0" borderId="57" xfId="0" applyFont="1" applyBorder="1"/>
    <xf numFmtId="164" fontId="1" fillId="0" borderId="58" xfId="0" applyNumberFormat="1" applyFont="1" applyBorder="1" applyAlignment="1">
      <alignment horizontal="center"/>
    </xf>
    <xf numFmtId="0" fontId="1" fillId="2" borderId="50" xfId="0" applyFont="1" applyFill="1" applyBorder="1"/>
    <xf numFmtId="164" fontId="1" fillId="2" borderId="53" xfId="0" applyNumberFormat="1" applyFont="1" applyFill="1" applyBorder="1" applyAlignment="1">
      <alignment horizontal="center"/>
    </xf>
    <xf numFmtId="164" fontId="1" fillId="2" borderId="54" xfId="0" applyNumberFormat="1" applyFont="1" applyFill="1" applyBorder="1" applyAlignment="1">
      <alignment horizontal="center"/>
    </xf>
    <xf numFmtId="164" fontId="1" fillId="2" borderId="59" xfId="0" applyNumberFormat="1" applyFont="1" applyFill="1" applyBorder="1" applyAlignment="1">
      <alignment horizontal="center"/>
    </xf>
    <xf numFmtId="2" fontId="1" fillId="2" borderId="59" xfId="0" applyNumberFormat="1" applyFont="1" applyFill="1" applyBorder="1" applyAlignment="1">
      <alignment horizontal="center"/>
    </xf>
    <xf numFmtId="164" fontId="1" fillId="2" borderId="28" xfId="0" applyNumberFormat="1" applyFont="1" applyFill="1" applyBorder="1" applyAlignment="1">
      <alignment horizontal="center"/>
    </xf>
    <xf numFmtId="0" fontId="1" fillId="0" borderId="60" xfId="0" applyFont="1" applyBorder="1"/>
    <xf numFmtId="164" fontId="1" fillId="0" borderId="42" xfId="0" applyNumberFormat="1" applyFont="1" applyBorder="1" applyAlignment="1">
      <alignment horizontal="center"/>
    </xf>
    <xf numFmtId="1" fontId="1" fillId="0" borderId="40" xfId="0" applyNumberFormat="1" applyFont="1" applyBorder="1"/>
    <xf numFmtId="164" fontId="1" fillId="0" borderId="46" xfId="0" applyNumberFormat="1" applyFont="1" applyBorder="1"/>
    <xf numFmtId="164" fontId="1" fillId="0" borderId="47" xfId="0" applyNumberFormat="1" applyFont="1" applyBorder="1"/>
    <xf numFmtId="164" fontId="1" fillId="0" borderId="48" xfId="0" applyNumberFormat="1" applyFont="1" applyBorder="1"/>
    <xf numFmtId="164" fontId="1" fillId="0" borderId="45" xfId="0" applyNumberFormat="1" applyFont="1" applyBorder="1" applyAlignment="1">
      <alignment horizontal="center"/>
    </xf>
    <xf numFmtId="1" fontId="1" fillId="0" borderId="15" xfId="0" applyNumberFormat="1" applyFont="1" applyBorder="1"/>
    <xf numFmtId="1" fontId="1" fillId="0" borderId="16" xfId="0" applyNumberFormat="1" applyFont="1" applyBorder="1"/>
    <xf numFmtId="1" fontId="1" fillId="0" borderId="61" xfId="0" applyNumberFormat="1" applyFont="1" applyBorder="1"/>
    <xf numFmtId="2" fontId="1" fillId="0" borderId="20" xfId="0" applyNumberFormat="1" applyFont="1" applyBorder="1" applyAlignment="1">
      <alignment horizontal="center"/>
    </xf>
    <xf numFmtId="1" fontId="1" fillId="2" borderId="23" xfId="0" applyNumberFormat="1" applyFont="1" applyFill="1" applyBorder="1" applyAlignment="1">
      <alignment horizontal="center"/>
    </xf>
    <xf numFmtId="1" fontId="1" fillId="2" borderId="22" xfId="0" applyNumberFormat="1" applyFont="1" applyFill="1" applyBorder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0" fontId="1" fillId="3" borderId="6" xfId="0" applyFont="1" applyFill="1" applyBorder="1"/>
    <xf numFmtId="164" fontId="1" fillId="3" borderId="26" xfId="0" applyNumberFormat="1" applyFont="1" applyFill="1" applyBorder="1" applyAlignment="1">
      <alignment horizontal="center"/>
    </xf>
    <xf numFmtId="164" fontId="1" fillId="3" borderId="27" xfId="0" applyNumberFormat="1" applyFont="1" applyFill="1" applyBorder="1" applyAlignment="1">
      <alignment horizontal="center"/>
    </xf>
    <xf numFmtId="164" fontId="1" fillId="3" borderId="28" xfId="0" applyNumberFormat="1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164" fontId="1" fillId="3" borderId="23" xfId="0" applyNumberFormat="1" applyFont="1" applyFill="1" applyBorder="1" applyAlignment="1">
      <alignment horizontal="center"/>
    </xf>
    <xf numFmtId="164" fontId="1" fillId="3" borderId="22" xfId="0" applyNumberFormat="1" applyFont="1" applyFill="1" applyBorder="1" applyAlignment="1">
      <alignment horizontal="center"/>
    </xf>
    <xf numFmtId="164" fontId="1" fillId="3" borderId="8" xfId="0" applyNumberFormat="1" applyFont="1" applyFill="1" applyBorder="1" applyAlignment="1">
      <alignment horizontal="center"/>
    </xf>
    <xf numFmtId="164" fontId="1" fillId="3" borderId="29" xfId="0" applyNumberFormat="1" applyFont="1" applyFill="1" applyBorder="1" applyAlignment="1">
      <alignment horizontal="center"/>
    </xf>
    <xf numFmtId="0" fontId="1" fillId="3" borderId="50" xfId="0" applyFont="1" applyFill="1" applyBorder="1"/>
    <xf numFmtId="164" fontId="1" fillId="3" borderId="53" xfId="0" applyNumberFormat="1" applyFont="1" applyFill="1" applyBorder="1"/>
    <xf numFmtId="164" fontId="1" fillId="3" borderId="51" xfId="0" applyNumberFormat="1" applyFont="1" applyFill="1" applyBorder="1"/>
    <xf numFmtId="164" fontId="1" fillId="3" borderId="54" xfId="0" applyNumberFormat="1" applyFont="1" applyFill="1" applyBorder="1"/>
    <xf numFmtId="164" fontId="1" fillId="3" borderId="55" xfId="0" applyNumberFormat="1" applyFont="1" applyFill="1" applyBorder="1"/>
    <xf numFmtId="1" fontId="1" fillId="3" borderId="53" xfId="0" applyNumberFormat="1" applyFont="1" applyFill="1" applyBorder="1"/>
    <xf numFmtId="2" fontId="1" fillId="3" borderId="49" xfId="0" applyNumberFormat="1" applyFont="1" applyFill="1" applyBorder="1" applyAlignment="1">
      <alignment horizontal="center"/>
    </xf>
    <xf numFmtId="164" fontId="1" fillId="4" borderId="55" xfId="0" applyNumberFormat="1" applyFont="1" applyFill="1" applyBorder="1"/>
    <xf numFmtId="164" fontId="1" fillId="4" borderId="50" xfId="0" applyNumberFormat="1" applyFont="1" applyFill="1" applyBorder="1"/>
    <xf numFmtId="164" fontId="1" fillId="4" borderId="49" xfId="0" applyNumberFormat="1" applyFont="1" applyFill="1" applyBorder="1"/>
    <xf numFmtId="164" fontId="2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164" fontId="1" fillId="0" borderId="63" xfId="0" applyNumberFormat="1" applyFont="1" applyBorder="1"/>
    <xf numFmtId="0" fontId="1" fillId="0" borderId="37" xfId="0" applyFont="1" applyBorder="1"/>
    <xf numFmtId="2" fontId="1" fillId="0" borderId="64" xfId="0" applyNumberFormat="1" applyFont="1" applyBorder="1" applyAlignment="1">
      <alignment horizontal="right"/>
    </xf>
    <xf numFmtId="164" fontId="1" fillId="0" borderId="33" xfId="0" applyNumberFormat="1" applyFont="1" applyBorder="1" applyAlignment="1">
      <alignment vertical="center"/>
    </xf>
    <xf numFmtId="164" fontId="1" fillId="0" borderId="65" xfId="0" applyNumberFormat="1" applyFont="1" applyBorder="1"/>
    <xf numFmtId="2" fontId="1" fillId="0" borderId="43" xfId="0" applyNumberFormat="1" applyFont="1" applyBorder="1" applyAlignment="1">
      <alignment horizontal="right"/>
    </xf>
    <xf numFmtId="164" fontId="1" fillId="0" borderId="41" xfId="0" applyNumberFormat="1" applyFont="1" applyBorder="1" applyAlignment="1">
      <alignment vertical="center"/>
    </xf>
    <xf numFmtId="0" fontId="1" fillId="0" borderId="33" xfId="0" applyFont="1" applyBorder="1"/>
    <xf numFmtId="164" fontId="1" fillId="2" borderId="52" xfId="0" applyNumberFormat="1" applyFont="1" applyFill="1" applyBorder="1" applyAlignment="1">
      <alignment horizontal="right"/>
    </xf>
    <xf numFmtId="164" fontId="6" fillId="0" borderId="27" xfId="0" applyNumberFormat="1" applyFont="1" applyBorder="1"/>
    <xf numFmtId="0" fontId="1" fillId="0" borderId="48" xfId="0" applyFont="1" applyBorder="1"/>
    <xf numFmtId="164" fontId="1" fillId="0" borderId="65" xfId="0" applyNumberFormat="1" applyFont="1" applyBorder="1" applyAlignment="1">
      <alignment horizontal="center"/>
    </xf>
    <xf numFmtId="164" fontId="1" fillId="0" borderId="63" xfId="0" applyNumberFormat="1" applyFont="1" applyBorder="1" applyAlignment="1">
      <alignment horizontal="center"/>
    </xf>
    <xf numFmtId="164" fontId="1" fillId="0" borderId="40" xfId="0" applyNumberFormat="1" applyFont="1" applyBorder="1" applyAlignment="1">
      <alignment horizontal="center"/>
    </xf>
    <xf numFmtId="164" fontId="1" fillId="0" borderId="38" xfId="0" applyNumberFormat="1" applyFon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164" fontId="1" fillId="0" borderId="41" xfId="0" applyNumberFormat="1" applyFont="1" applyBorder="1" applyAlignment="1">
      <alignment horizontal="center"/>
    </xf>
    <xf numFmtId="1" fontId="1" fillId="0" borderId="56" xfId="0" applyNumberFormat="1" applyFont="1" applyBorder="1" applyAlignment="1">
      <alignment horizontal="center"/>
    </xf>
    <xf numFmtId="1" fontId="1" fillId="0" borderId="38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2" fontId="1" fillId="0" borderId="65" xfId="0" applyNumberFormat="1" applyFont="1" applyBorder="1" applyAlignment="1">
      <alignment horizontal="right"/>
    </xf>
    <xf numFmtId="164" fontId="1" fillId="0" borderId="39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164" fontId="1" fillId="0" borderId="61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right"/>
    </xf>
    <xf numFmtId="164" fontId="1" fillId="0" borderId="22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2" borderId="66" xfId="0" applyNumberFormat="1" applyFont="1" applyFill="1" applyBorder="1" applyAlignment="1">
      <alignment horizontal="center"/>
    </xf>
    <xf numFmtId="164" fontId="1" fillId="2" borderId="67" xfId="0" applyNumberFormat="1" applyFont="1" applyFill="1" applyBorder="1" applyAlignment="1">
      <alignment horizontal="center"/>
    </xf>
    <xf numFmtId="164" fontId="1" fillId="2" borderId="68" xfId="0" applyNumberFormat="1" applyFont="1" applyFill="1" applyBorder="1" applyAlignment="1">
      <alignment horizontal="center"/>
    </xf>
    <xf numFmtId="0" fontId="1" fillId="3" borderId="49" xfId="0" applyFont="1" applyFill="1" applyBorder="1"/>
    <xf numFmtId="164" fontId="1" fillId="3" borderId="53" xfId="0" applyNumberFormat="1" applyFont="1" applyFill="1" applyBorder="1" applyAlignment="1">
      <alignment horizontal="center"/>
    </xf>
    <xf numFmtId="164" fontId="1" fillId="3" borderId="50" xfId="0" applyNumberFormat="1" applyFont="1" applyFill="1" applyBorder="1" applyAlignment="1">
      <alignment horizontal="center"/>
    </xf>
    <xf numFmtId="164" fontId="1" fillId="3" borderId="51" xfId="0" applyNumberFormat="1" applyFont="1" applyFill="1" applyBorder="1" applyAlignment="1">
      <alignment horizontal="center"/>
    </xf>
    <xf numFmtId="164" fontId="1" fillId="3" borderId="54" xfId="0" applyNumberFormat="1" applyFont="1" applyFill="1" applyBorder="1" applyAlignment="1">
      <alignment horizontal="center"/>
    </xf>
    <xf numFmtId="164" fontId="1" fillId="3" borderId="55" xfId="0" applyNumberFormat="1" applyFont="1" applyFill="1" applyBorder="1" applyAlignment="1">
      <alignment horizontal="center"/>
    </xf>
    <xf numFmtId="0" fontId="1" fillId="3" borderId="22" xfId="0" applyFont="1" applyFill="1" applyBorder="1"/>
    <xf numFmtId="164" fontId="1" fillId="3" borderId="6" xfId="0" applyNumberFormat="1" applyFont="1" applyFill="1" applyBorder="1" applyAlignment="1">
      <alignment horizontal="center"/>
    </xf>
    <xf numFmtId="1" fontId="1" fillId="3" borderId="23" xfId="0" applyNumberFormat="1" applyFont="1" applyFill="1" applyBorder="1" applyAlignment="1">
      <alignment horizontal="center"/>
    </xf>
    <xf numFmtId="1" fontId="1" fillId="3" borderId="24" xfId="0" applyNumberFormat="1" applyFont="1" applyFill="1" applyBorder="1" applyAlignment="1">
      <alignment horizontal="center"/>
    </xf>
    <xf numFmtId="1" fontId="1" fillId="3" borderId="62" xfId="0" applyNumberFormat="1" applyFont="1" applyFill="1" applyBorder="1" applyAlignment="1">
      <alignment horizontal="center"/>
    </xf>
    <xf numFmtId="2" fontId="1" fillId="3" borderId="29" xfId="0" applyNumberFormat="1" applyFont="1" applyFill="1" applyBorder="1" applyAlignment="1">
      <alignment horizontal="center"/>
    </xf>
    <xf numFmtId="164" fontId="1" fillId="4" borderId="23" xfId="0" applyNumberFormat="1" applyFont="1" applyFill="1" applyBorder="1" applyAlignment="1">
      <alignment horizontal="center"/>
    </xf>
    <xf numFmtId="164" fontId="1" fillId="4" borderId="22" xfId="0" applyNumberFormat="1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3" xfId="0" applyFont="1" applyBorder="1"/>
    <xf numFmtId="164" fontId="1" fillId="0" borderId="13" xfId="0" applyNumberFormat="1" applyFont="1" applyBorder="1"/>
    <xf numFmtId="0" fontId="1" fillId="0" borderId="63" xfId="0" applyFont="1" applyBorder="1"/>
    <xf numFmtId="1" fontId="1" fillId="0" borderId="34" xfId="0" applyNumberFormat="1" applyFont="1" applyBorder="1"/>
    <xf numFmtId="2" fontId="1" fillId="0" borderId="37" xfId="0" applyNumberFormat="1" applyFont="1" applyBorder="1" applyAlignment="1">
      <alignment horizontal="center"/>
    </xf>
    <xf numFmtId="0" fontId="2" fillId="0" borderId="39" xfId="0" applyFont="1" applyBorder="1"/>
    <xf numFmtId="0" fontId="1" fillId="0" borderId="65" xfId="0" applyFont="1" applyBorder="1"/>
    <xf numFmtId="1" fontId="1" fillId="0" borderId="42" xfId="0" applyNumberFormat="1" applyFont="1" applyBorder="1"/>
    <xf numFmtId="2" fontId="1" fillId="0" borderId="41" xfId="0" applyNumberFormat="1" applyFont="1" applyBorder="1" applyAlignment="1">
      <alignment horizontal="center"/>
    </xf>
    <xf numFmtId="0" fontId="1" fillId="0" borderId="42" xfId="0" applyFont="1" applyBorder="1"/>
    <xf numFmtId="0" fontId="2" fillId="0" borderId="44" xfId="0" applyFont="1" applyBorder="1"/>
    <xf numFmtId="0" fontId="1" fillId="2" borderId="1" xfId="0" applyFont="1" applyFill="1" applyBorder="1"/>
    <xf numFmtId="164" fontId="1" fillId="2" borderId="69" xfId="0" applyNumberFormat="1" applyFont="1" applyFill="1" applyBorder="1" applyAlignment="1">
      <alignment horizontal="center"/>
    </xf>
    <xf numFmtId="164" fontId="1" fillId="2" borderId="49" xfId="0" applyNumberFormat="1" applyFont="1" applyFill="1" applyBorder="1" applyAlignment="1">
      <alignment horizontal="center"/>
    </xf>
    <xf numFmtId="1" fontId="1" fillId="2" borderId="55" xfId="0" applyNumberFormat="1" applyFont="1" applyFill="1" applyBorder="1" applyAlignment="1">
      <alignment horizontal="center"/>
    </xf>
    <xf numFmtId="1" fontId="1" fillId="2" borderId="52" xfId="0" applyNumberFormat="1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0" fontId="2" fillId="0" borderId="10" xfId="0" applyFont="1" applyBorder="1"/>
    <xf numFmtId="0" fontId="1" fillId="0" borderId="13" xfId="0" applyFont="1" applyBorder="1"/>
    <xf numFmtId="0" fontId="2" fillId="0" borderId="56" xfId="0" applyFont="1" applyBorder="1"/>
    <xf numFmtId="164" fontId="6" fillId="0" borderId="42" xfId="0" applyNumberFormat="1" applyFont="1" applyBorder="1"/>
    <xf numFmtId="2" fontId="7" fillId="0" borderId="41" xfId="0" applyNumberFormat="1" applyFont="1" applyBorder="1" applyAlignment="1">
      <alignment horizontal="center"/>
    </xf>
    <xf numFmtId="0" fontId="2" fillId="0" borderId="18" xfId="0" applyFont="1" applyBorder="1"/>
    <xf numFmtId="0" fontId="1" fillId="0" borderId="22" xfId="0" applyFont="1" applyBorder="1"/>
    <xf numFmtId="0" fontId="1" fillId="2" borderId="6" xfId="0" applyFont="1" applyFill="1" applyBorder="1"/>
    <xf numFmtId="1" fontId="1" fillId="0" borderId="70" xfId="0" applyNumberFormat="1" applyFont="1" applyBorder="1"/>
    <xf numFmtId="1" fontId="1" fillId="0" borderId="65" xfId="0" applyNumberFormat="1" applyFont="1" applyBorder="1"/>
    <xf numFmtId="0" fontId="2" fillId="0" borderId="21" xfId="0" applyFont="1" applyBorder="1"/>
    <xf numFmtId="164" fontId="1" fillId="0" borderId="21" xfId="0" applyNumberFormat="1" applyFont="1" applyBorder="1"/>
    <xf numFmtId="1" fontId="1" fillId="0" borderId="45" xfId="0" applyNumberFormat="1" applyFont="1" applyBorder="1"/>
    <xf numFmtId="2" fontId="7" fillId="0" borderId="48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2" fillId="2" borderId="50" xfId="0" applyFont="1" applyFill="1" applyBorder="1"/>
    <xf numFmtId="164" fontId="2" fillId="2" borderId="66" xfId="0" applyNumberFormat="1" applyFont="1" applyFill="1" applyBorder="1" applyAlignment="1">
      <alignment horizontal="center"/>
    </xf>
    <xf numFmtId="164" fontId="2" fillId="2" borderId="67" xfId="0" applyNumberFormat="1" applyFont="1" applyFill="1" applyBorder="1" applyAlignment="1">
      <alignment horizontal="center"/>
    </xf>
    <xf numFmtId="164" fontId="2" fillId="2" borderId="68" xfId="0" applyNumberFormat="1" applyFont="1" applyFill="1" applyBorder="1" applyAlignment="1">
      <alignment horizontal="center"/>
    </xf>
    <xf numFmtId="164" fontId="2" fillId="2" borderId="52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2" borderId="67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2" fontId="2" fillId="2" borderId="50" xfId="0" applyNumberFormat="1" applyFont="1" applyFill="1" applyBorder="1" applyAlignment="1">
      <alignment horizontal="center"/>
    </xf>
    <xf numFmtId="164" fontId="2" fillId="2" borderId="53" xfId="0" applyNumberFormat="1" applyFont="1" applyFill="1" applyBorder="1" applyAlignment="1">
      <alignment horizontal="center"/>
    </xf>
    <xf numFmtId="164" fontId="2" fillId="2" borderId="54" xfId="0" applyNumberFormat="1" applyFont="1" applyFill="1" applyBorder="1" applyAlignment="1">
      <alignment horizontal="center"/>
    </xf>
    <xf numFmtId="164" fontId="2" fillId="2" borderId="62" xfId="0" applyNumberFormat="1" applyFont="1" applyFill="1" applyBorder="1" applyAlignment="1">
      <alignment horizontal="center"/>
    </xf>
    <xf numFmtId="0" fontId="2" fillId="3" borderId="50" xfId="0" applyFont="1" applyFill="1" applyBorder="1"/>
    <xf numFmtId="164" fontId="2" fillId="3" borderId="53" xfId="0" applyNumberFormat="1" applyFont="1" applyFill="1" applyBorder="1" applyAlignment="1">
      <alignment horizontal="center"/>
    </xf>
    <xf numFmtId="164" fontId="2" fillId="3" borderId="51" xfId="0" applyNumberFormat="1" applyFont="1" applyFill="1" applyBorder="1" applyAlignment="1">
      <alignment horizontal="center"/>
    </xf>
    <xf numFmtId="164" fontId="2" fillId="3" borderId="54" xfId="0" applyNumberFormat="1" applyFont="1" applyFill="1" applyBorder="1" applyAlignment="1">
      <alignment horizontal="center"/>
    </xf>
    <xf numFmtId="164" fontId="2" fillId="3" borderId="59" xfId="0" applyNumberFormat="1" applyFont="1" applyFill="1" applyBorder="1" applyAlignment="1">
      <alignment horizontal="center"/>
    </xf>
    <xf numFmtId="164" fontId="2" fillId="3" borderId="66" xfId="0" applyNumberFormat="1" applyFont="1" applyFill="1" applyBorder="1" applyAlignment="1">
      <alignment horizontal="center"/>
    </xf>
    <xf numFmtId="164" fontId="2" fillId="3" borderId="67" xfId="0" applyNumberFormat="1" applyFont="1" applyFill="1" applyBorder="1" applyAlignment="1">
      <alignment horizontal="center"/>
    </xf>
    <xf numFmtId="164" fontId="2" fillId="3" borderId="68" xfId="0" applyNumberFormat="1" applyFont="1" applyFill="1" applyBorder="1" applyAlignment="1">
      <alignment horizontal="center"/>
    </xf>
    <xf numFmtId="164" fontId="2" fillId="3" borderId="55" xfId="0" applyNumberFormat="1" applyFont="1" applyFill="1" applyBorder="1" applyAlignment="1">
      <alignment horizontal="center"/>
    </xf>
    <xf numFmtId="164" fontId="2" fillId="3" borderId="49" xfId="0" applyNumberFormat="1" applyFont="1" applyFill="1" applyBorder="1" applyAlignment="1">
      <alignment horizontal="center"/>
    </xf>
    <xf numFmtId="0" fontId="2" fillId="3" borderId="6" xfId="0" applyFont="1" applyFill="1" applyBorder="1"/>
    <xf numFmtId="164" fontId="2" fillId="3" borderId="23" xfId="0" applyNumberFormat="1" applyFont="1" applyFill="1" applyBorder="1" applyAlignment="1">
      <alignment horizontal="center"/>
    </xf>
    <xf numFmtId="164" fontId="2" fillId="3" borderId="24" xfId="0" applyNumberFormat="1" applyFont="1" applyFill="1" applyBorder="1" applyAlignment="1">
      <alignment horizontal="center"/>
    </xf>
    <xf numFmtId="164" fontId="2" fillId="3" borderId="62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" fontId="2" fillId="3" borderId="53" xfId="0" applyNumberFormat="1" applyFont="1" applyFill="1" applyBorder="1" applyAlignment="1">
      <alignment horizontal="center"/>
    </xf>
    <xf numFmtId="1" fontId="2" fillId="3" borderId="51" xfId="0" applyNumberFormat="1" applyFont="1" applyFill="1" applyBorder="1" applyAlignment="1">
      <alignment horizontal="center"/>
    </xf>
    <xf numFmtId="1" fontId="2" fillId="3" borderId="54" xfId="0" applyNumberFormat="1" applyFont="1" applyFill="1" applyBorder="1" applyAlignment="1">
      <alignment horizontal="center"/>
    </xf>
    <xf numFmtId="2" fontId="2" fillId="3" borderId="29" xfId="0" applyNumberFormat="1" applyFont="1" applyFill="1" applyBorder="1" applyAlignment="1">
      <alignment horizontal="center"/>
    </xf>
    <xf numFmtId="164" fontId="2" fillId="4" borderId="23" xfId="0" applyNumberFormat="1" applyFont="1" applyFill="1" applyBorder="1" applyAlignment="1">
      <alignment horizontal="center"/>
    </xf>
    <xf numFmtId="164" fontId="2" fillId="4" borderId="6" xfId="0" applyNumberFormat="1" applyFont="1" applyFill="1" applyBorder="1" applyAlignment="1">
      <alignment horizontal="center"/>
    </xf>
    <xf numFmtId="164" fontId="2" fillId="4" borderId="49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7" fillId="0" borderId="35" xfId="0" applyNumberFormat="1" applyFont="1" applyBorder="1"/>
    <xf numFmtId="164" fontId="7" fillId="0" borderId="36" xfId="0" applyNumberFormat="1" applyFont="1" applyBorder="1"/>
    <xf numFmtId="164" fontId="7" fillId="0" borderId="32" xfId="0" applyNumberFormat="1" applyFont="1" applyBorder="1"/>
    <xf numFmtId="164" fontId="7" fillId="0" borderId="33" xfId="0" applyNumberFormat="1" applyFont="1" applyBorder="1"/>
    <xf numFmtId="164" fontId="7" fillId="0" borderId="34" xfId="0" applyNumberFormat="1" applyFont="1" applyBorder="1"/>
    <xf numFmtId="0" fontId="7" fillId="0" borderId="37" xfId="0" applyFont="1" applyBorder="1"/>
    <xf numFmtId="1" fontId="7" fillId="0" borderId="71" xfId="0" applyNumberFormat="1" applyFont="1" applyBorder="1"/>
    <xf numFmtId="1" fontId="7" fillId="0" borderId="37" xfId="0" applyNumberFormat="1" applyFont="1" applyBorder="1"/>
    <xf numFmtId="2" fontId="7" fillId="0" borderId="37" xfId="0" applyNumberFormat="1" applyFont="1" applyBorder="1" applyAlignment="1">
      <alignment horizontal="center"/>
    </xf>
    <xf numFmtId="164" fontId="7" fillId="0" borderId="13" xfId="0" applyNumberFormat="1" applyFont="1" applyBorder="1"/>
    <xf numFmtId="164" fontId="7" fillId="0" borderId="40" xfId="0" applyNumberFormat="1" applyFont="1" applyBorder="1"/>
    <xf numFmtId="164" fontId="7" fillId="0" borderId="38" xfId="0" applyNumberFormat="1" applyFont="1" applyBorder="1"/>
    <xf numFmtId="164" fontId="7" fillId="0" borderId="41" xfId="0" applyNumberFormat="1" applyFont="1" applyBorder="1"/>
    <xf numFmtId="0" fontId="7" fillId="0" borderId="41" xfId="0" applyFont="1" applyBorder="1"/>
    <xf numFmtId="1" fontId="7" fillId="0" borderId="42" xfId="0" applyNumberFormat="1" applyFont="1" applyBorder="1"/>
    <xf numFmtId="1" fontId="7" fillId="0" borderId="41" xfId="0" applyNumberFormat="1" applyFont="1" applyBorder="1"/>
    <xf numFmtId="164" fontId="7" fillId="0" borderId="39" xfId="0" applyNumberFormat="1" applyFont="1" applyBorder="1"/>
    <xf numFmtId="0" fontId="7" fillId="0" borderId="33" xfId="0" applyFont="1" applyBorder="1"/>
    <xf numFmtId="164" fontId="8" fillId="0" borderId="39" xfId="0" applyNumberFormat="1" applyFont="1" applyBorder="1"/>
    <xf numFmtId="164" fontId="8" fillId="0" borderId="41" xfId="0" applyNumberFormat="1" applyFont="1" applyBorder="1"/>
    <xf numFmtId="0" fontId="7" fillId="0" borderId="42" xfId="0" applyFont="1" applyBorder="1"/>
    <xf numFmtId="164" fontId="7" fillId="0" borderId="58" xfId="0" applyNumberFormat="1" applyFont="1" applyBorder="1"/>
    <xf numFmtId="164" fontId="7" fillId="0" borderId="44" xfId="0" applyNumberFormat="1" applyFont="1" applyBorder="1"/>
    <xf numFmtId="0" fontId="9" fillId="2" borderId="49" xfId="0" applyFont="1" applyFill="1" applyBorder="1"/>
    <xf numFmtId="164" fontId="7" fillId="2" borderId="53" xfId="0" applyNumberFormat="1" applyFont="1" applyFill="1" applyBorder="1"/>
    <xf numFmtId="164" fontId="7" fillId="2" borderId="50" xfId="0" applyNumberFormat="1" applyFont="1" applyFill="1" applyBorder="1"/>
    <xf numFmtId="1" fontId="7" fillId="2" borderId="53" xfId="0" applyNumberFormat="1" applyFont="1" applyFill="1" applyBorder="1"/>
    <xf numFmtId="1" fontId="7" fillId="2" borderId="51" xfId="0" applyNumberFormat="1" applyFont="1" applyFill="1" applyBorder="1"/>
    <xf numFmtId="1" fontId="7" fillId="2" borderId="52" xfId="0" applyNumberFormat="1" applyFont="1" applyFill="1" applyBorder="1"/>
    <xf numFmtId="2" fontId="7" fillId="2" borderId="69" xfId="0" applyNumberFormat="1" applyFont="1" applyFill="1" applyBorder="1"/>
    <xf numFmtId="164" fontId="7" fillId="2" borderId="49" xfId="0" applyNumberFormat="1" applyFont="1" applyFill="1" applyBorder="1"/>
    <xf numFmtId="0" fontId="2" fillId="0" borderId="30" xfId="0" applyFont="1" applyBorder="1"/>
    <xf numFmtId="164" fontId="7" fillId="0" borderId="30" xfId="0" applyNumberFormat="1" applyFont="1" applyBorder="1"/>
    <xf numFmtId="164" fontId="7" fillId="0" borderId="47" xfId="0" applyNumberFormat="1" applyFont="1" applyBorder="1" applyAlignment="1">
      <alignment horizontal="right" vertical="center" wrapText="1"/>
    </xf>
    <xf numFmtId="1" fontId="7" fillId="0" borderId="70" xfId="0" applyNumberFormat="1" applyFont="1" applyBorder="1"/>
    <xf numFmtId="0" fontId="7" fillId="0" borderId="70" xfId="0" applyFont="1" applyBorder="1"/>
    <xf numFmtId="0" fontId="2" fillId="0" borderId="57" xfId="0" applyFont="1" applyBorder="1"/>
    <xf numFmtId="0" fontId="7" fillId="0" borderId="38" xfId="0" applyFont="1" applyBorder="1"/>
    <xf numFmtId="1" fontId="7" fillId="0" borderId="38" xfId="0" applyNumberFormat="1" applyFont="1" applyBorder="1"/>
    <xf numFmtId="164" fontId="7" fillId="2" borderId="54" xfId="0" applyNumberFormat="1" applyFont="1" applyFill="1" applyBorder="1"/>
    <xf numFmtId="164" fontId="7" fillId="2" borderId="52" xfId="0" applyNumberFormat="1" applyFont="1" applyFill="1" applyBorder="1"/>
    <xf numFmtId="0" fontId="2" fillId="0" borderId="60" xfId="0" applyFont="1" applyBorder="1"/>
    <xf numFmtId="164" fontId="7" fillId="0" borderId="38" xfId="0" applyNumberFormat="1" applyFont="1" applyBorder="1" applyAlignment="1">
      <alignment horizontal="right" vertical="center" wrapText="1"/>
    </xf>
    <xf numFmtId="164" fontId="2" fillId="0" borderId="46" xfId="0" applyNumberFormat="1" applyFont="1" applyBorder="1"/>
    <xf numFmtId="164" fontId="2" fillId="0" borderId="47" xfId="0" applyNumberFormat="1" applyFont="1" applyBorder="1"/>
    <xf numFmtId="164" fontId="2" fillId="0" borderId="27" xfId="0" applyNumberFormat="1" applyFont="1" applyBorder="1"/>
    <xf numFmtId="164" fontId="2" fillId="0" borderId="48" xfId="0" applyNumberFormat="1" applyFont="1" applyBorder="1"/>
    <xf numFmtId="164" fontId="2" fillId="0" borderId="45" xfId="0" applyNumberFormat="1" applyFont="1" applyBorder="1"/>
    <xf numFmtId="1" fontId="2" fillId="0" borderId="26" xfId="0" applyNumberFormat="1" applyFont="1" applyBorder="1"/>
    <xf numFmtId="1" fontId="2" fillId="0" borderId="27" xfId="0" applyNumberFormat="1" applyFont="1" applyBorder="1"/>
    <xf numFmtId="1" fontId="2" fillId="0" borderId="48" xfId="0" applyNumberFormat="1" applyFont="1" applyBorder="1"/>
    <xf numFmtId="2" fontId="2" fillId="0" borderId="57" xfId="0" applyNumberFormat="1" applyFont="1" applyBorder="1"/>
    <xf numFmtId="164" fontId="2" fillId="0" borderId="28" xfId="0" applyNumberFormat="1" applyFont="1" applyBorder="1"/>
    <xf numFmtId="164" fontId="2" fillId="0" borderId="72" xfId="0" applyNumberFormat="1" applyFont="1" applyBorder="1"/>
    <xf numFmtId="0" fontId="2" fillId="2" borderId="49" xfId="0" applyFont="1" applyFill="1" applyBorder="1"/>
    <xf numFmtId="164" fontId="2" fillId="2" borderId="50" xfId="0" applyNumberFormat="1" applyFont="1" applyFill="1" applyBorder="1" applyAlignment="1">
      <alignment horizontal="center"/>
    </xf>
    <xf numFmtId="1" fontId="2" fillId="2" borderId="49" xfId="0" applyNumberFormat="1" applyFont="1" applyFill="1" applyBorder="1" applyAlignment="1">
      <alignment horizontal="center"/>
    </xf>
    <xf numFmtId="1" fontId="2" fillId="2" borderId="55" xfId="0" applyNumberFormat="1" applyFont="1" applyFill="1" applyBorder="1" applyAlignment="1">
      <alignment horizontal="center"/>
    </xf>
    <xf numFmtId="1" fontId="2" fillId="2" borderId="54" xfId="0" applyNumberFormat="1" applyFont="1" applyFill="1" applyBorder="1" applyAlignment="1">
      <alignment horizontal="center"/>
    </xf>
    <xf numFmtId="164" fontId="2" fillId="2" borderId="49" xfId="0" applyNumberFormat="1" applyFont="1" applyFill="1" applyBorder="1" applyAlignment="1">
      <alignment horizontal="center"/>
    </xf>
    <xf numFmtId="0" fontId="2" fillId="3" borderId="49" xfId="0" applyFont="1" applyFill="1" applyBorder="1"/>
    <xf numFmtId="164" fontId="2" fillId="3" borderId="50" xfId="0" applyNumberFormat="1" applyFont="1" applyFill="1" applyBorder="1" applyAlignment="1">
      <alignment horizontal="center"/>
    </xf>
    <xf numFmtId="0" fontId="2" fillId="3" borderId="22" xfId="0" applyFont="1" applyFill="1" applyBorder="1"/>
    <xf numFmtId="164" fontId="2" fillId="3" borderId="6" xfId="0" applyNumberFormat="1" applyFont="1" applyFill="1" applyBorder="1" applyAlignment="1">
      <alignment horizontal="center"/>
    </xf>
    <xf numFmtId="1" fontId="2" fillId="3" borderId="49" xfId="0" applyNumberFormat="1" applyFont="1" applyFill="1" applyBorder="1" applyAlignment="1">
      <alignment horizontal="center"/>
    </xf>
    <xf numFmtId="1" fontId="2" fillId="3" borderId="55" xfId="0" applyNumberFormat="1" applyFont="1" applyFill="1" applyBorder="1" applyAlignment="1">
      <alignment horizontal="center"/>
    </xf>
    <xf numFmtId="2" fontId="2" fillId="3" borderId="50" xfId="0" applyNumberFormat="1" applyFont="1" applyFill="1" applyBorder="1" applyAlignment="1">
      <alignment horizontal="center"/>
    </xf>
    <xf numFmtId="164" fontId="2" fillId="4" borderId="22" xfId="0" applyNumberFormat="1" applyFont="1" applyFill="1" applyBorder="1" applyAlignment="1">
      <alignment horizontal="center"/>
    </xf>
    <xf numFmtId="164" fontId="7" fillId="4" borderId="49" xfId="0" applyNumberFormat="1" applyFont="1" applyFill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164" fontId="1" fillId="0" borderId="66" xfId="0" applyNumberFormat="1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74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164" fontId="1" fillId="0" borderId="35" xfId="0" applyNumberFormat="1" applyFont="1" applyBorder="1"/>
    <xf numFmtId="164" fontId="6" fillId="0" borderId="36" xfId="0" applyNumberFormat="1" applyFont="1" applyBorder="1"/>
    <xf numFmtId="164" fontId="1" fillId="0" borderId="36" xfId="0" applyNumberFormat="1" applyFont="1" applyBorder="1"/>
    <xf numFmtId="164" fontId="1" fillId="0" borderId="37" xfId="0" applyNumberFormat="1" applyFont="1" applyBorder="1"/>
    <xf numFmtId="0" fontId="1" fillId="0" borderId="71" xfId="0" applyFont="1" applyBorder="1"/>
    <xf numFmtId="1" fontId="1" fillId="0" borderId="71" xfId="0" applyNumberFormat="1" applyFont="1" applyBorder="1"/>
    <xf numFmtId="164" fontId="1" fillId="2" borderId="53" xfId="0" applyNumberFormat="1" applyFont="1" applyFill="1" applyBorder="1"/>
    <xf numFmtId="164" fontId="1" fillId="2" borderId="50" xfId="0" applyNumberFormat="1" applyFont="1" applyFill="1" applyBorder="1"/>
    <xf numFmtId="1" fontId="1" fillId="2" borderId="53" xfId="0" applyNumberFormat="1" applyFont="1" applyFill="1" applyBorder="1"/>
    <xf numFmtId="1" fontId="1" fillId="2" borderId="49" xfId="0" applyNumberFormat="1" applyFont="1" applyFill="1" applyBorder="1"/>
    <xf numFmtId="164" fontId="1" fillId="2" borderId="49" xfId="0" applyNumberFormat="1" applyFont="1" applyFill="1" applyBorder="1" applyAlignment="1">
      <alignment horizontal="right"/>
    </xf>
    <xf numFmtId="164" fontId="1" fillId="2" borderId="49" xfId="0" applyNumberFormat="1" applyFont="1" applyFill="1" applyBorder="1"/>
    <xf numFmtId="0" fontId="1" fillId="0" borderId="34" xfId="0" applyFont="1" applyBorder="1"/>
    <xf numFmtId="164" fontId="1" fillId="0" borderId="23" xfId="0" applyNumberFormat="1" applyFont="1" applyBorder="1"/>
    <xf numFmtId="164" fontId="1" fillId="0" borderId="16" xfId="0" applyNumberFormat="1" applyFont="1" applyBorder="1"/>
    <xf numFmtId="164" fontId="1" fillId="0" borderId="24" xfId="0" applyNumberFormat="1" applyFont="1" applyBorder="1"/>
    <xf numFmtId="164" fontId="1" fillId="0" borderId="61" xfId="0" applyNumberFormat="1" applyFont="1" applyBorder="1"/>
    <xf numFmtId="164" fontId="1" fillId="0" borderId="15" xfId="0" applyNumberFormat="1" applyFont="1" applyBorder="1"/>
    <xf numFmtId="164" fontId="1" fillId="0" borderId="17" xfId="0" applyNumberFormat="1" applyFont="1" applyBorder="1"/>
    <xf numFmtId="1" fontId="1" fillId="0" borderId="17" xfId="0" applyNumberFormat="1" applyFont="1" applyBorder="1"/>
    <xf numFmtId="2" fontId="1" fillId="0" borderId="61" xfId="0" applyNumberFormat="1" applyFont="1" applyBorder="1" applyAlignment="1">
      <alignment horizontal="center"/>
    </xf>
    <xf numFmtId="164" fontId="2" fillId="2" borderId="23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" fontId="2" fillId="2" borderId="23" xfId="0" applyNumberFormat="1" applyFont="1" applyFill="1" applyBorder="1" applyAlignment="1">
      <alignment horizontal="center"/>
    </xf>
    <xf numFmtId="1" fontId="2" fillId="2" borderId="22" xfId="0" applyNumberFormat="1" applyFont="1" applyFill="1" applyBorder="1" applyAlignment="1">
      <alignment horizontal="center"/>
    </xf>
    <xf numFmtId="2" fontId="2" fillId="2" borderId="29" xfId="0" applyNumberFormat="1" applyFont="1" applyFill="1" applyBorder="1" applyAlignment="1">
      <alignment horizontal="center"/>
    </xf>
    <xf numFmtId="164" fontId="2" fillId="2" borderId="22" xfId="0" applyNumberFormat="1" applyFont="1" applyFill="1" applyBorder="1" applyAlignment="1">
      <alignment horizontal="center"/>
    </xf>
    <xf numFmtId="2" fontId="2" fillId="3" borderId="53" xfId="0" applyNumberFormat="1" applyFont="1" applyFill="1" applyBorder="1" applyAlignment="1">
      <alignment horizontal="center"/>
    </xf>
    <xf numFmtId="1" fontId="2" fillId="3" borderId="23" xfId="0" applyNumberFormat="1" applyFont="1" applyFill="1" applyBorder="1" applyAlignment="1">
      <alignment horizontal="center"/>
    </xf>
    <xf numFmtId="2" fontId="2" fillId="3" borderId="23" xfId="0" applyNumberFormat="1" applyFont="1" applyFill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64" fontId="2" fillId="0" borderId="13" xfId="0" applyNumberFormat="1" applyFont="1" applyBorder="1"/>
    <xf numFmtId="164" fontId="2" fillId="0" borderId="12" xfId="0" applyNumberFormat="1" applyFont="1" applyBorder="1" applyAlignment="1">
      <alignment horizontal="right"/>
    </xf>
    <xf numFmtId="164" fontId="2" fillId="0" borderId="30" xfId="0" applyNumberFormat="1" applyFont="1" applyBorder="1"/>
    <xf numFmtId="164" fontId="2" fillId="0" borderId="64" xfId="0" applyNumberFormat="1" applyFont="1" applyBorder="1"/>
    <xf numFmtId="164" fontId="10" fillId="0" borderId="64" xfId="0" applyNumberFormat="1" applyFont="1" applyBorder="1"/>
    <xf numFmtId="0" fontId="1" fillId="0" borderId="21" xfId="0" applyFont="1" applyBorder="1"/>
    <xf numFmtId="164" fontId="2" fillId="0" borderId="14" xfId="0" applyNumberFormat="1" applyFont="1" applyBorder="1"/>
    <xf numFmtId="164" fontId="2" fillId="0" borderId="5" xfId="0" applyNumberFormat="1" applyFont="1" applyBorder="1"/>
    <xf numFmtId="0" fontId="9" fillId="2" borderId="22" xfId="0" applyFont="1" applyFill="1" applyBorder="1"/>
    <xf numFmtId="164" fontId="2" fillId="2" borderId="53" xfId="0" applyNumberFormat="1" applyFont="1" applyFill="1" applyBorder="1"/>
    <xf numFmtId="164" fontId="2" fillId="2" borderId="51" xfId="0" applyNumberFormat="1" applyFont="1" applyFill="1" applyBorder="1"/>
    <xf numFmtId="164" fontId="2" fillId="2" borderId="55" xfId="0" applyNumberFormat="1" applyFont="1" applyFill="1" applyBorder="1"/>
    <xf numFmtId="164" fontId="2" fillId="2" borderId="49" xfId="0" applyNumberFormat="1" applyFont="1" applyFill="1" applyBorder="1"/>
    <xf numFmtId="1" fontId="2" fillId="2" borderId="55" xfId="0" applyNumberFormat="1" applyFont="1" applyFill="1" applyBorder="1"/>
    <xf numFmtId="1" fontId="2" fillId="2" borderId="51" xfId="0" applyNumberFormat="1" applyFont="1" applyFill="1" applyBorder="1"/>
    <xf numFmtId="1" fontId="2" fillId="2" borderId="59" xfId="0" applyNumberFormat="1" applyFont="1" applyFill="1" applyBorder="1"/>
    <xf numFmtId="2" fontId="2" fillId="2" borderId="49" xfId="0" applyNumberFormat="1" applyFont="1" applyFill="1" applyBorder="1" applyAlignment="1">
      <alignment horizontal="right"/>
    </xf>
    <xf numFmtId="164" fontId="2" fillId="2" borderId="52" xfId="0" applyNumberFormat="1" applyFont="1" applyFill="1" applyBorder="1"/>
    <xf numFmtId="164" fontId="2" fillId="2" borderId="54" xfId="0" applyNumberFormat="1" applyFont="1" applyFill="1" applyBorder="1"/>
    <xf numFmtId="164" fontId="2" fillId="0" borderId="39" xfId="0" applyNumberFormat="1" applyFont="1" applyBorder="1"/>
    <xf numFmtId="164" fontId="2" fillId="0" borderId="43" xfId="0" applyNumberFormat="1" applyFont="1" applyBorder="1"/>
    <xf numFmtId="164" fontId="2" fillId="0" borderId="15" xfId="0" applyNumberFormat="1" applyFont="1" applyBorder="1"/>
    <xf numFmtId="164" fontId="2" fillId="0" borderId="17" xfId="0" applyNumberFormat="1" applyFont="1" applyBorder="1"/>
    <xf numFmtId="164" fontId="2" fillId="0" borderId="21" xfId="0" applyNumberFormat="1" applyFont="1" applyBorder="1"/>
    <xf numFmtId="164" fontId="2" fillId="0" borderId="19" xfId="0" applyNumberFormat="1" applyFont="1" applyBorder="1"/>
    <xf numFmtId="1" fontId="2" fillId="0" borderId="75" xfId="0" applyNumberFormat="1" applyFont="1" applyBorder="1"/>
    <xf numFmtId="1" fontId="2" fillId="0" borderId="61" xfId="0" applyNumberFormat="1" applyFont="1" applyBorder="1"/>
    <xf numFmtId="1" fontId="2" fillId="0" borderId="19" xfId="0" applyNumberFormat="1" applyFont="1" applyBorder="1"/>
    <xf numFmtId="2" fontId="2" fillId="0" borderId="21" xfId="0" applyNumberFormat="1" applyFont="1" applyBorder="1" applyAlignment="1">
      <alignment horizontal="right"/>
    </xf>
    <xf numFmtId="164" fontId="2" fillId="0" borderId="8" xfId="0" applyNumberFormat="1" applyFont="1" applyBorder="1"/>
    <xf numFmtId="164" fontId="2" fillId="0" borderId="20" xfId="0" applyNumberFormat="1" applyFont="1" applyBorder="1"/>
    <xf numFmtId="1" fontId="2" fillId="2" borderId="29" xfId="0" applyNumberFormat="1" applyFont="1" applyFill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  <xf numFmtId="2" fontId="2" fillId="2" borderId="22" xfId="0" applyNumberFormat="1" applyFont="1" applyFill="1" applyBorder="1" applyAlignment="1">
      <alignment horizontal="right"/>
    </xf>
    <xf numFmtId="164" fontId="2" fillId="2" borderId="8" xfId="0" applyNumberFormat="1" applyFont="1" applyFill="1" applyBorder="1" applyAlignment="1">
      <alignment horizontal="center"/>
    </xf>
    <xf numFmtId="164" fontId="2" fillId="3" borderId="26" xfId="0" applyNumberFormat="1" applyFont="1" applyFill="1" applyBorder="1" applyAlignment="1">
      <alignment horizontal="center"/>
    </xf>
    <xf numFmtId="1" fontId="2" fillId="3" borderId="26" xfId="0" applyNumberFormat="1" applyFont="1" applyFill="1" applyBorder="1" applyAlignment="1">
      <alignment horizontal="center"/>
    </xf>
    <xf numFmtId="164" fontId="7" fillId="4" borderId="52" xfId="0" applyNumberFormat="1" applyFont="1" applyFill="1" applyBorder="1" applyAlignment="1">
      <alignment horizontal="center"/>
    </xf>
    <xf numFmtId="164" fontId="2" fillId="0" borderId="2" xfId="0" applyNumberFormat="1" applyFont="1" applyBorder="1"/>
    <xf numFmtId="164" fontId="1" fillId="0" borderId="5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4" fontId="2" fillId="0" borderId="76" xfId="0" applyNumberFormat="1" applyFont="1" applyBorder="1" applyAlignment="1">
      <alignment horizontal="right"/>
    </xf>
    <xf numFmtId="164" fontId="2" fillId="0" borderId="38" xfId="0" applyNumberFormat="1" applyFont="1" applyBorder="1" applyAlignment="1">
      <alignment horizontal="right"/>
    </xf>
    <xf numFmtId="164" fontId="2" fillId="0" borderId="32" xfId="0" applyNumberFormat="1" applyFont="1" applyBorder="1" applyAlignment="1">
      <alignment horizontal="right"/>
    </xf>
    <xf numFmtId="164" fontId="2" fillId="0" borderId="33" xfId="0" applyNumberFormat="1" applyFont="1" applyBorder="1" applyAlignment="1">
      <alignment horizontal="right"/>
    </xf>
    <xf numFmtId="164" fontId="2" fillId="0" borderId="13" xfId="0" applyNumberFormat="1" applyFont="1" applyBorder="1" applyAlignment="1">
      <alignment horizontal="right"/>
    </xf>
    <xf numFmtId="0" fontId="2" fillId="0" borderId="41" xfId="0" applyFont="1" applyBorder="1" applyAlignment="1">
      <alignment horizontal="right"/>
    </xf>
    <xf numFmtId="0" fontId="2" fillId="0" borderId="42" xfId="0" applyFont="1" applyBorder="1" applyAlignment="1">
      <alignment horizontal="right"/>
    </xf>
    <xf numFmtId="2" fontId="2" fillId="0" borderId="37" xfId="0" applyNumberFormat="1" applyFont="1" applyBorder="1" applyAlignment="1">
      <alignment horizontal="right"/>
    </xf>
    <xf numFmtId="164" fontId="2" fillId="0" borderId="30" xfId="0" applyNumberFormat="1" applyFont="1" applyBorder="1" applyAlignment="1">
      <alignment horizontal="right"/>
    </xf>
    <xf numFmtId="164" fontId="2" fillId="0" borderId="64" xfId="0" applyNumberFormat="1" applyFont="1" applyBorder="1" applyAlignment="1">
      <alignment horizontal="right"/>
    </xf>
    <xf numFmtId="164" fontId="2" fillId="0" borderId="41" xfId="0" applyNumberFormat="1" applyFont="1" applyBorder="1" applyAlignment="1">
      <alignment horizontal="right"/>
    </xf>
    <xf numFmtId="2" fontId="2" fillId="0" borderId="41" xfId="0" applyNumberFormat="1" applyFont="1" applyBorder="1" applyAlignment="1">
      <alignment horizontal="right"/>
    </xf>
    <xf numFmtId="164" fontId="2" fillId="0" borderId="39" xfId="0" applyNumberFormat="1" applyFont="1" applyBorder="1" applyAlignment="1">
      <alignment horizontal="right"/>
    </xf>
    <xf numFmtId="164" fontId="10" fillId="0" borderId="41" xfId="0" applyNumberFormat="1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164" fontId="2" fillId="2" borderId="55" xfId="0" applyNumberFormat="1" applyFont="1" applyFill="1" applyBorder="1" applyAlignment="1">
      <alignment horizontal="right"/>
    </xf>
    <xf numFmtId="164" fontId="2" fillId="2" borderId="27" xfId="0" applyNumberFormat="1" applyFont="1" applyFill="1" applyBorder="1" applyAlignment="1">
      <alignment horizontal="right"/>
    </xf>
    <xf numFmtId="164" fontId="2" fillId="2" borderId="52" xfId="0" applyNumberFormat="1" applyFont="1" applyFill="1" applyBorder="1" applyAlignment="1">
      <alignment horizontal="right"/>
    </xf>
    <xf numFmtId="164" fontId="2" fillId="2" borderId="49" xfId="0" applyNumberFormat="1" applyFont="1" applyFill="1" applyBorder="1" applyAlignment="1">
      <alignment horizontal="right"/>
    </xf>
    <xf numFmtId="164" fontId="2" fillId="2" borderId="59" xfId="0" applyNumberFormat="1" applyFont="1" applyFill="1" applyBorder="1" applyAlignment="1">
      <alignment horizontal="right"/>
    </xf>
    <xf numFmtId="164" fontId="2" fillId="2" borderId="53" xfId="0" applyNumberFormat="1" applyFont="1" applyFill="1" applyBorder="1" applyAlignment="1">
      <alignment horizontal="right"/>
    </xf>
    <xf numFmtId="0" fontId="2" fillId="0" borderId="33" xfId="0" applyFont="1" applyBorder="1" applyAlignment="1">
      <alignment horizontal="right"/>
    </xf>
    <xf numFmtId="1" fontId="2" fillId="0" borderId="42" xfId="0" applyNumberFormat="1" applyFont="1" applyBorder="1" applyAlignment="1">
      <alignment horizontal="right"/>
    </xf>
    <xf numFmtId="164" fontId="2" fillId="0" borderId="76" xfId="0" applyNumberFormat="1" applyFont="1" applyBorder="1" applyAlignment="1">
      <alignment horizontal="right" vertical="center" wrapText="1"/>
    </xf>
    <xf numFmtId="164" fontId="2" fillId="0" borderId="38" xfId="0" applyNumberFormat="1" applyFont="1" applyBorder="1" applyAlignment="1">
      <alignment horizontal="right" vertical="center" wrapText="1"/>
    </xf>
    <xf numFmtId="164" fontId="2" fillId="0" borderId="48" xfId="0" applyNumberFormat="1" applyFont="1" applyBorder="1" applyAlignment="1">
      <alignment horizontal="right"/>
    </xf>
    <xf numFmtId="0" fontId="2" fillId="0" borderId="61" xfId="0" applyFont="1" applyBorder="1" applyAlignment="1">
      <alignment horizontal="right"/>
    </xf>
    <xf numFmtId="2" fontId="2" fillId="0" borderId="48" xfId="0" applyNumberFormat="1" applyFont="1" applyBorder="1" applyAlignment="1">
      <alignment horizontal="right"/>
    </xf>
    <xf numFmtId="164" fontId="2" fillId="0" borderId="47" xfId="0" applyNumberFormat="1" applyFont="1" applyBorder="1" applyAlignment="1">
      <alignment horizontal="right"/>
    </xf>
    <xf numFmtId="164" fontId="2" fillId="0" borderId="44" xfId="0" applyNumberFormat="1" applyFont="1" applyBorder="1" applyAlignment="1">
      <alignment horizontal="right"/>
    </xf>
    <xf numFmtId="2" fontId="2" fillId="2" borderId="59" xfId="0" applyNumberFormat="1" applyFont="1" applyFill="1" applyBorder="1" applyAlignment="1">
      <alignment horizontal="right"/>
    </xf>
    <xf numFmtId="0" fontId="2" fillId="5" borderId="50" xfId="0" applyFont="1" applyFill="1" applyBorder="1"/>
    <xf numFmtId="164" fontId="2" fillId="5" borderId="66" xfId="0" applyNumberFormat="1" applyFont="1" applyFill="1" applyBorder="1" applyAlignment="1">
      <alignment horizontal="right"/>
    </xf>
    <xf numFmtId="164" fontId="2" fillId="5" borderId="9" xfId="0" applyNumberFormat="1" applyFont="1" applyFill="1" applyBorder="1" applyAlignment="1">
      <alignment horizontal="right"/>
    </xf>
    <xf numFmtId="2" fontId="2" fillId="5" borderId="1" xfId="0" applyNumberFormat="1" applyFont="1" applyFill="1" applyBorder="1" applyAlignment="1">
      <alignment horizontal="right"/>
    </xf>
    <xf numFmtId="164" fontId="2" fillId="5" borderId="53" xfId="0" applyNumberFormat="1" applyFont="1" applyFill="1" applyBorder="1" applyAlignment="1">
      <alignment horizontal="right"/>
    </xf>
    <xf numFmtId="164" fontId="2" fillId="5" borderId="49" xfId="0" applyNumberFormat="1" applyFont="1" applyFill="1" applyBorder="1" applyAlignment="1">
      <alignment horizontal="right"/>
    </xf>
    <xf numFmtId="0" fontId="2" fillId="5" borderId="6" xfId="0" applyFont="1" applyFill="1" applyBorder="1"/>
    <xf numFmtId="164" fontId="2" fillId="3" borderId="53" xfId="0" applyNumberFormat="1" applyFont="1" applyFill="1" applyBorder="1" applyAlignment="1">
      <alignment horizontal="right"/>
    </xf>
    <xf numFmtId="1" fontId="2" fillId="5" borderId="49" xfId="0" applyNumberFormat="1" applyFont="1" applyFill="1" applyBorder="1" applyAlignment="1">
      <alignment horizontal="right"/>
    </xf>
    <xf numFmtId="1" fontId="2" fillId="5" borderId="53" xfId="0" applyNumberFormat="1" applyFont="1" applyFill="1" applyBorder="1" applyAlignment="1">
      <alignment horizontal="right"/>
    </xf>
    <xf numFmtId="2" fontId="2" fillId="5" borderId="50" xfId="0" applyNumberFormat="1" applyFont="1" applyFill="1" applyBorder="1" applyAlignment="1">
      <alignment horizontal="right"/>
    </xf>
    <xf numFmtId="164" fontId="2" fillId="4" borderId="53" xfId="0" applyNumberFormat="1" applyFont="1" applyFill="1" applyBorder="1" applyAlignment="1">
      <alignment horizontal="right"/>
    </xf>
    <xf numFmtId="164" fontId="2" fillId="4" borderId="49" xfId="0" applyNumberFormat="1" applyFont="1" applyFill="1" applyBorder="1" applyAlignment="1">
      <alignment horizontal="right"/>
    </xf>
    <xf numFmtId="0" fontId="1" fillId="0" borderId="49" xfId="0" applyFont="1" applyBorder="1" applyAlignment="1">
      <alignment horizontal="center"/>
    </xf>
    <xf numFmtId="164" fontId="1" fillId="0" borderId="26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2" fillId="0" borderId="35" xfId="0" applyNumberFormat="1" applyFont="1" applyBorder="1" applyAlignment="1">
      <alignment horizontal="right"/>
    </xf>
    <xf numFmtId="164" fontId="10" fillId="0" borderId="36" xfId="0" applyNumberFormat="1" applyFont="1" applyBorder="1" applyAlignment="1">
      <alignment horizontal="right"/>
    </xf>
    <xf numFmtId="164" fontId="2" fillId="0" borderId="36" xfId="0" applyNumberFormat="1" applyFont="1" applyBorder="1" applyAlignment="1">
      <alignment horizontal="right"/>
    </xf>
    <xf numFmtId="164" fontId="2" fillId="0" borderId="37" xfId="0" applyNumberFormat="1" applyFont="1" applyBorder="1" applyAlignment="1">
      <alignment horizontal="right"/>
    </xf>
    <xf numFmtId="164" fontId="2" fillId="0" borderId="11" xfId="0" applyNumberFormat="1" applyFont="1" applyBorder="1" applyAlignment="1">
      <alignment horizontal="right"/>
    </xf>
    <xf numFmtId="0" fontId="2" fillId="0" borderId="71" xfId="0" applyFont="1" applyBorder="1" applyAlignment="1">
      <alignment horizontal="right"/>
    </xf>
    <xf numFmtId="1" fontId="2" fillId="0" borderId="37" xfId="0" applyNumberFormat="1" applyFont="1" applyBorder="1" applyAlignment="1">
      <alignment horizontal="right"/>
    </xf>
    <xf numFmtId="1" fontId="2" fillId="0" borderId="71" xfId="0" applyNumberFormat="1" applyFont="1" applyBorder="1" applyAlignment="1">
      <alignment horizontal="right"/>
    </xf>
    <xf numFmtId="164" fontId="2" fillId="0" borderId="40" xfId="0" applyNumberFormat="1" applyFont="1" applyBorder="1" applyAlignment="1">
      <alignment horizontal="right"/>
    </xf>
    <xf numFmtId="164" fontId="10" fillId="0" borderId="38" xfId="0" applyNumberFormat="1" applyFont="1" applyBorder="1" applyAlignment="1">
      <alignment horizontal="right"/>
    </xf>
    <xf numFmtId="164" fontId="2" fillId="0" borderId="63" xfId="0" applyNumberFormat="1" applyFont="1" applyBorder="1" applyAlignment="1">
      <alignment horizontal="right"/>
    </xf>
    <xf numFmtId="1" fontId="2" fillId="0" borderId="41" xfId="0" applyNumberFormat="1" applyFont="1" applyBorder="1" applyAlignment="1">
      <alignment horizontal="right"/>
    </xf>
    <xf numFmtId="1" fontId="2" fillId="0" borderId="34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0" fontId="9" fillId="2" borderId="50" xfId="0" applyFont="1" applyFill="1" applyBorder="1"/>
    <xf numFmtId="164" fontId="2" fillId="2" borderId="50" xfId="0" applyNumberFormat="1" applyFont="1" applyFill="1" applyBorder="1" applyAlignment="1">
      <alignment horizontal="right"/>
    </xf>
    <xf numFmtId="1" fontId="2" fillId="2" borderId="53" xfId="0" applyNumberFormat="1" applyFont="1" applyFill="1" applyBorder="1" applyAlignment="1">
      <alignment horizontal="right"/>
    </xf>
    <xf numFmtId="1" fontId="2" fillId="2" borderId="51" xfId="0" applyNumberFormat="1" applyFont="1" applyFill="1" applyBorder="1" applyAlignment="1">
      <alignment horizontal="right"/>
    </xf>
    <xf numFmtId="1" fontId="2" fillId="2" borderId="54" xfId="0" applyNumberFormat="1" applyFont="1" applyFill="1" applyBorder="1" applyAlignment="1">
      <alignment horizontal="right"/>
    </xf>
    <xf numFmtId="0" fontId="2" fillId="0" borderId="70" xfId="0" applyFont="1" applyBorder="1" applyAlignment="1">
      <alignment horizontal="right"/>
    </xf>
    <xf numFmtId="1" fontId="2" fillId="0" borderId="48" xfId="0" applyNumberFormat="1" applyFont="1" applyBorder="1" applyAlignment="1">
      <alignment horizontal="right"/>
    </xf>
    <xf numFmtId="164" fontId="2" fillId="2" borderId="51" xfId="0" applyNumberFormat="1" applyFont="1" applyFill="1" applyBorder="1" applyAlignment="1">
      <alignment horizontal="right"/>
    </xf>
    <xf numFmtId="164" fontId="2" fillId="2" borderId="54" xfId="0" applyNumberFormat="1" applyFont="1" applyFill="1" applyBorder="1" applyAlignment="1">
      <alignment horizontal="right"/>
    </xf>
    <xf numFmtId="1" fontId="2" fillId="2" borderId="49" xfId="0" applyNumberFormat="1" applyFont="1" applyFill="1" applyBorder="1" applyAlignment="1">
      <alignment horizontal="right"/>
    </xf>
    <xf numFmtId="1" fontId="2" fillId="2" borderId="55" xfId="0" applyNumberFormat="1" applyFont="1" applyFill="1" applyBorder="1" applyAlignment="1">
      <alignment horizontal="right"/>
    </xf>
    <xf numFmtId="164" fontId="2" fillId="2" borderId="67" xfId="0" applyNumberFormat="1" applyFont="1" applyFill="1" applyBorder="1" applyAlignment="1">
      <alignment horizontal="right"/>
    </xf>
    <xf numFmtId="0" fontId="2" fillId="0" borderId="34" xfId="0" applyFont="1" applyBorder="1" applyAlignment="1">
      <alignment horizontal="right"/>
    </xf>
    <xf numFmtId="1" fontId="2" fillId="0" borderId="33" xfId="0" applyNumberFormat="1" applyFont="1" applyBorder="1" applyAlignment="1">
      <alignment horizontal="right"/>
    </xf>
    <xf numFmtId="164" fontId="2" fillId="0" borderId="15" xfId="0" applyNumberFormat="1" applyFont="1" applyBorder="1" applyAlignment="1">
      <alignment horizontal="right"/>
    </xf>
    <xf numFmtId="164" fontId="2" fillId="0" borderId="16" xfId="0" applyNumberFormat="1" applyFont="1" applyBorder="1" applyAlignment="1">
      <alignment horizontal="right"/>
    </xf>
    <xf numFmtId="164" fontId="2" fillId="0" borderId="24" xfId="0" applyNumberFormat="1" applyFont="1" applyBorder="1" applyAlignment="1">
      <alignment horizontal="right"/>
    </xf>
    <xf numFmtId="164" fontId="2" fillId="0" borderId="61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1" fontId="2" fillId="0" borderId="17" xfId="0" applyNumberFormat="1" applyFont="1" applyBorder="1" applyAlignment="1">
      <alignment horizontal="right"/>
    </xf>
    <xf numFmtId="1" fontId="2" fillId="0" borderId="61" xfId="0" applyNumberFormat="1" applyFont="1" applyBorder="1" applyAlignment="1">
      <alignment horizontal="right"/>
    </xf>
    <xf numFmtId="2" fontId="2" fillId="0" borderId="19" xfId="0" applyNumberFormat="1" applyFont="1" applyBorder="1" applyAlignment="1">
      <alignment horizontal="right"/>
    </xf>
    <xf numFmtId="164" fontId="2" fillId="0" borderId="21" xfId="0" applyNumberFormat="1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164" fontId="1" fillId="2" borderId="31" xfId="0" applyNumberFormat="1" applyFont="1" applyFill="1" applyBorder="1"/>
    <xf numFmtId="164" fontId="1" fillId="2" borderId="32" xfId="0" applyNumberFormat="1" applyFont="1" applyFill="1" applyBorder="1"/>
    <xf numFmtId="164" fontId="1" fillId="2" borderId="33" xfId="0" applyNumberFormat="1" applyFont="1" applyFill="1" applyBorder="1"/>
    <xf numFmtId="164" fontId="1" fillId="2" borderId="6" xfId="0" applyNumberFormat="1" applyFont="1" applyFill="1" applyBorder="1"/>
    <xf numFmtId="1" fontId="1" fillId="2" borderId="23" xfId="0" applyNumberFormat="1" applyFont="1" applyFill="1" applyBorder="1"/>
    <xf numFmtId="1" fontId="1" fillId="2" borderId="24" xfId="0" applyNumberFormat="1" applyFont="1" applyFill="1" applyBorder="1"/>
    <xf numFmtId="1" fontId="1" fillId="2" borderId="62" xfId="0" applyNumberFormat="1" applyFont="1" applyFill="1" applyBorder="1"/>
    <xf numFmtId="164" fontId="1" fillId="2" borderId="8" xfId="0" applyNumberFormat="1" applyFont="1" applyFill="1" applyBorder="1"/>
    <xf numFmtId="164" fontId="1" fillId="2" borderId="64" xfId="0" applyNumberFormat="1" applyFont="1" applyFill="1" applyBorder="1"/>
    <xf numFmtId="0" fontId="1" fillId="6" borderId="50" xfId="0" applyFont="1" applyFill="1" applyBorder="1"/>
    <xf numFmtId="164" fontId="1" fillId="6" borderId="15" xfId="0" applyNumberFormat="1" applyFont="1" applyFill="1" applyBorder="1"/>
    <xf numFmtId="164" fontId="1" fillId="6" borderId="16" xfId="0" applyNumberFormat="1" applyFont="1" applyFill="1" applyBorder="1"/>
    <xf numFmtId="164" fontId="1" fillId="6" borderId="61" xfId="0" applyNumberFormat="1" applyFont="1" applyFill="1" applyBorder="1"/>
    <xf numFmtId="164" fontId="1" fillId="6" borderId="7" xfId="0" applyNumberFormat="1" applyFont="1" applyFill="1" applyBorder="1"/>
    <xf numFmtId="164" fontId="1" fillId="6" borderId="23" xfId="0" applyNumberFormat="1" applyFont="1" applyFill="1" applyBorder="1"/>
    <xf numFmtId="164" fontId="1" fillId="6" borderId="24" xfId="0" applyNumberFormat="1" applyFont="1" applyFill="1" applyBorder="1"/>
    <xf numFmtId="164" fontId="1" fillId="6" borderId="62" xfId="0" applyNumberFormat="1" applyFont="1" applyFill="1" applyBorder="1"/>
    <xf numFmtId="164" fontId="1" fillId="6" borderId="20" xfId="0" applyNumberFormat="1" applyFont="1" applyFill="1" applyBorder="1"/>
    <xf numFmtId="0" fontId="1" fillId="6" borderId="6" xfId="0" applyFont="1" applyFill="1" applyBorder="1"/>
    <xf numFmtId="164" fontId="1" fillId="3" borderId="50" xfId="0" applyNumberFormat="1" applyFont="1" applyFill="1" applyBorder="1"/>
    <xf numFmtId="1" fontId="1" fillId="6" borderId="53" xfId="0" applyNumberFormat="1" applyFont="1" applyFill="1" applyBorder="1"/>
    <xf numFmtId="1" fontId="1" fillId="6" borderId="54" xfId="0" applyNumberFormat="1" applyFont="1" applyFill="1" applyBorder="1"/>
    <xf numFmtId="1" fontId="1" fillId="6" borderId="8" xfId="0" applyNumberFormat="1" applyFont="1" applyFill="1" applyBorder="1"/>
    <xf numFmtId="2" fontId="1" fillId="6" borderId="7" xfId="0" applyNumberFormat="1" applyFont="1" applyFill="1" applyBorder="1"/>
    <xf numFmtId="164" fontId="1" fillId="4" borderId="23" xfId="0" applyNumberFormat="1" applyFont="1" applyFill="1" applyBorder="1"/>
    <xf numFmtId="164" fontId="1" fillId="4" borderId="62" xfId="0" applyNumberFormat="1" applyFont="1" applyFill="1" applyBorder="1"/>
    <xf numFmtId="164" fontId="1" fillId="4" borderId="8" xfId="0" applyNumberFormat="1" applyFont="1" applyFill="1" applyBorder="1"/>
    <xf numFmtId="0" fontId="12" fillId="0" borderId="2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77" xfId="0" applyNumberFormat="1" applyFont="1" applyBorder="1"/>
    <xf numFmtId="164" fontId="1" fillId="0" borderId="76" xfId="0" applyNumberFormat="1" applyFont="1" applyBorder="1"/>
    <xf numFmtId="1" fontId="2" fillId="2" borderId="52" xfId="0" applyNumberFormat="1" applyFont="1" applyFill="1" applyBorder="1"/>
    <xf numFmtId="1" fontId="2" fillId="2" borderId="50" xfId="0" applyNumberFormat="1" applyFont="1" applyFill="1" applyBorder="1"/>
    <xf numFmtId="1" fontId="2" fillId="2" borderId="54" xfId="0" applyNumberFormat="1" applyFont="1" applyFill="1" applyBorder="1"/>
    <xf numFmtId="164" fontId="2" fillId="2" borderId="59" xfId="0" applyNumberFormat="1" applyFont="1" applyFill="1" applyBorder="1"/>
    <xf numFmtId="164" fontId="1" fillId="0" borderId="78" xfId="0" applyNumberFormat="1" applyFont="1" applyBorder="1"/>
    <xf numFmtId="164" fontId="2" fillId="0" borderId="22" xfId="0" applyNumberFormat="1" applyFont="1" applyBorder="1"/>
    <xf numFmtId="1" fontId="2" fillId="0" borderId="16" xfId="0" applyNumberFormat="1" applyFont="1" applyBorder="1"/>
    <xf numFmtId="1" fontId="2" fillId="0" borderId="20" xfId="0" applyNumberFormat="1" applyFont="1" applyBorder="1"/>
    <xf numFmtId="2" fontId="2" fillId="0" borderId="20" xfId="0" applyNumberFormat="1" applyFont="1" applyBorder="1"/>
    <xf numFmtId="164" fontId="2" fillId="0" borderId="61" xfId="0" applyNumberFormat="1" applyFont="1" applyBorder="1"/>
    <xf numFmtId="0" fontId="0" fillId="0" borderId="14" xfId="0" applyBorder="1"/>
    <xf numFmtId="1" fontId="2" fillId="2" borderId="23" xfId="0" applyNumberFormat="1" applyFont="1" applyFill="1" applyBorder="1"/>
    <xf numFmtId="1" fontId="2" fillId="2" borderId="22" xfId="0" applyNumberFormat="1" applyFont="1" applyFill="1" applyBorder="1"/>
    <xf numFmtId="164" fontId="2" fillId="2" borderId="23" xfId="0" applyNumberFormat="1" applyFont="1" applyFill="1" applyBorder="1"/>
    <xf numFmtId="164" fontId="1" fillId="3" borderId="26" xfId="0" applyNumberFormat="1" applyFont="1" applyFill="1" applyBorder="1"/>
    <xf numFmtId="164" fontId="2" fillId="3" borderId="26" xfId="0" applyNumberFormat="1" applyFont="1" applyFill="1" applyBorder="1"/>
    <xf numFmtId="164" fontId="2" fillId="3" borderId="14" xfId="0" applyNumberFormat="1" applyFont="1" applyFill="1" applyBorder="1"/>
    <xf numFmtId="1" fontId="2" fillId="3" borderId="49" xfId="0" applyNumberFormat="1" applyFont="1" applyFill="1" applyBorder="1"/>
    <xf numFmtId="1" fontId="2" fillId="3" borderId="53" xfId="0" applyNumberFormat="1" applyFont="1" applyFill="1" applyBorder="1"/>
    <xf numFmtId="2" fontId="2" fillId="3" borderId="53" xfId="0" applyNumberFormat="1" applyFont="1" applyFill="1" applyBorder="1"/>
    <xf numFmtId="164" fontId="2" fillId="4" borderId="53" xfId="0" applyNumberFormat="1" applyFont="1" applyFill="1" applyBorder="1"/>
    <xf numFmtId="164" fontId="2" fillId="4" borderId="49" xfId="0" applyNumberFormat="1" applyFont="1" applyFill="1" applyBorder="1"/>
    <xf numFmtId="164" fontId="2" fillId="0" borderId="53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64" fontId="2" fillId="0" borderId="44" xfId="0" applyNumberFormat="1" applyFont="1" applyBorder="1"/>
    <xf numFmtId="2" fontId="2" fillId="2" borderId="49" xfId="0" applyNumberFormat="1" applyFont="1" applyFill="1" applyBorder="1"/>
    <xf numFmtId="1" fontId="2" fillId="2" borderId="53" xfId="0" applyNumberFormat="1" applyFont="1" applyFill="1" applyBorder="1"/>
    <xf numFmtId="1" fontId="2" fillId="2" borderId="69" xfId="0" applyNumberFormat="1" applyFont="1" applyFill="1" applyBorder="1"/>
    <xf numFmtId="164" fontId="1" fillId="0" borderId="70" xfId="0" applyNumberFormat="1" applyFont="1" applyBorder="1"/>
    <xf numFmtId="164" fontId="2" fillId="3" borderId="4" xfId="0" applyNumberFormat="1" applyFont="1" applyFill="1" applyBorder="1"/>
    <xf numFmtId="164" fontId="2" fillId="3" borderId="74" xfId="0" applyNumberFormat="1" applyFont="1" applyFill="1" applyBorder="1"/>
    <xf numFmtId="164" fontId="2" fillId="3" borderId="53" xfId="0" applyNumberFormat="1" applyFont="1" applyFill="1" applyBorder="1"/>
    <xf numFmtId="1" fontId="2" fillId="3" borderId="52" xfId="0" applyNumberFormat="1" applyFont="1" applyFill="1" applyBorder="1"/>
    <xf numFmtId="1" fontId="2" fillId="3" borderId="55" xfId="0" applyNumberFormat="1" applyFont="1" applyFill="1" applyBorder="1"/>
    <xf numFmtId="1" fontId="2" fillId="3" borderId="59" xfId="0" applyNumberFormat="1" applyFont="1" applyFill="1" applyBorder="1"/>
    <xf numFmtId="2" fontId="2" fillId="3" borderId="49" xfId="0" applyNumberFormat="1" applyFont="1" applyFill="1" applyBorder="1"/>
    <xf numFmtId="164" fontId="2" fillId="4" borderId="55" xfId="0" applyNumberFormat="1" applyFont="1" applyFill="1" applyBorder="1"/>
    <xf numFmtId="0" fontId="1" fillId="0" borderId="69" xfId="0" applyFont="1" applyBorder="1" applyAlignment="1">
      <alignment horizontal="center"/>
    </xf>
    <xf numFmtId="0" fontId="1" fillId="0" borderId="79" xfId="0" applyFont="1" applyBorder="1" applyAlignment="1">
      <alignment horizontal="center"/>
    </xf>
    <xf numFmtId="164" fontId="2" fillId="0" borderId="34" xfId="0" applyNumberFormat="1" applyFont="1" applyBorder="1"/>
    <xf numFmtId="164" fontId="2" fillId="0" borderId="35" xfId="0" applyNumberFormat="1" applyFont="1" applyBorder="1"/>
    <xf numFmtId="164" fontId="2" fillId="0" borderId="40" xfId="0" applyNumberFormat="1" applyFont="1" applyBorder="1"/>
    <xf numFmtId="164" fontId="2" fillId="2" borderId="50" xfId="0" applyNumberFormat="1" applyFont="1" applyFill="1" applyBorder="1"/>
    <xf numFmtId="1" fontId="2" fillId="2" borderId="40" xfId="0" applyNumberFormat="1" applyFont="1" applyFill="1" applyBorder="1"/>
    <xf numFmtId="1" fontId="2" fillId="2" borderId="38" xfId="0" applyNumberFormat="1" applyFont="1" applyFill="1" applyBorder="1"/>
    <xf numFmtId="1" fontId="2" fillId="2" borderId="41" xfId="0" applyNumberFormat="1" applyFont="1" applyFill="1" applyBorder="1"/>
    <xf numFmtId="164" fontId="2" fillId="2" borderId="40" xfId="0" applyNumberFormat="1" applyFont="1" applyFill="1" applyBorder="1"/>
    <xf numFmtId="164" fontId="2" fillId="2" borderId="41" xfId="0" applyNumberFormat="1" applyFont="1" applyFill="1" applyBorder="1"/>
    <xf numFmtId="164" fontId="2" fillId="0" borderId="42" xfId="0" applyNumberFormat="1" applyFont="1" applyBorder="1"/>
    <xf numFmtId="164" fontId="2" fillId="0" borderId="60" xfId="0" applyNumberFormat="1" applyFont="1" applyBorder="1"/>
    <xf numFmtId="164" fontId="2" fillId="0" borderId="16" xfId="0" applyNumberFormat="1" applyFont="1" applyBorder="1"/>
    <xf numFmtId="164" fontId="2" fillId="0" borderId="24" xfId="0" applyNumberFormat="1" applyFont="1" applyBorder="1"/>
    <xf numFmtId="164" fontId="2" fillId="0" borderId="6" xfId="0" applyNumberFormat="1" applyFont="1" applyBorder="1"/>
    <xf numFmtId="1" fontId="2" fillId="0" borderId="46" xfId="0" applyNumberFormat="1" applyFont="1" applyBorder="1"/>
    <xf numFmtId="1" fontId="2" fillId="0" borderId="47" xfId="0" applyNumberFormat="1" applyFont="1" applyBorder="1"/>
    <xf numFmtId="2" fontId="2" fillId="0" borderId="19" xfId="0" applyNumberFormat="1" applyFont="1" applyBorder="1" applyAlignment="1">
      <alignment horizontal="center"/>
    </xf>
    <xf numFmtId="164" fontId="2" fillId="0" borderId="41" xfId="0" applyNumberFormat="1" applyFont="1" applyBorder="1"/>
    <xf numFmtId="164" fontId="2" fillId="2" borderId="6" xfId="0" applyNumberFormat="1" applyFont="1" applyFill="1" applyBorder="1"/>
    <xf numFmtId="1" fontId="2" fillId="2" borderId="66" xfId="0" applyNumberFormat="1" applyFont="1" applyFill="1" applyBorder="1"/>
    <xf numFmtId="1" fontId="2" fillId="2" borderId="67" xfId="0" applyNumberFormat="1" applyFont="1" applyFill="1" applyBorder="1"/>
    <xf numFmtId="1" fontId="2" fillId="2" borderId="68" xfId="0" applyNumberFormat="1" applyFont="1" applyFill="1" applyBorder="1"/>
    <xf numFmtId="164" fontId="2" fillId="2" borderId="7" xfId="0" applyNumberFormat="1" applyFont="1" applyFill="1" applyBorder="1"/>
    <xf numFmtId="164" fontId="2" fillId="2" borderId="8" xfId="0" applyNumberFormat="1" applyFont="1" applyFill="1" applyBorder="1"/>
    <xf numFmtId="164" fontId="2" fillId="3" borderId="51" xfId="0" applyNumberFormat="1" applyFont="1" applyFill="1" applyBorder="1"/>
    <xf numFmtId="164" fontId="2" fillId="3" borderId="54" xfId="0" applyNumberFormat="1" applyFont="1" applyFill="1" applyBorder="1"/>
    <xf numFmtId="164" fontId="2" fillId="3" borderId="0" xfId="0" applyNumberFormat="1" applyFont="1" applyFill="1"/>
    <xf numFmtId="164" fontId="2" fillId="3" borderId="40" xfId="0" applyNumberFormat="1" applyFont="1" applyFill="1" applyBorder="1"/>
    <xf numFmtId="164" fontId="2" fillId="3" borderId="41" xfId="0" applyNumberFormat="1" applyFont="1" applyFill="1" applyBorder="1"/>
    <xf numFmtId="1" fontId="2" fillId="3" borderId="23" xfId="0" applyNumberFormat="1" applyFont="1" applyFill="1" applyBorder="1"/>
    <xf numFmtId="1" fontId="2" fillId="3" borderId="24" xfId="0" applyNumberFormat="1" applyFont="1" applyFill="1" applyBorder="1"/>
    <xf numFmtId="1" fontId="2" fillId="3" borderId="62" xfId="0" applyNumberFormat="1" applyFont="1" applyFill="1" applyBorder="1"/>
    <xf numFmtId="2" fontId="2" fillId="3" borderId="59" xfId="0" applyNumberFormat="1" applyFont="1" applyFill="1" applyBorder="1"/>
    <xf numFmtId="164" fontId="2" fillId="4" borderId="15" xfId="0" applyNumberFormat="1" applyFont="1" applyFill="1" applyBorder="1"/>
    <xf numFmtId="164" fontId="2" fillId="4" borderId="61" xfId="0" applyNumberFormat="1" applyFont="1" applyFill="1" applyBorder="1"/>
    <xf numFmtId="164" fontId="2" fillId="4" borderId="52" xfId="0" applyNumberFormat="1" applyFont="1" applyFill="1" applyBorder="1"/>
    <xf numFmtId="0" fontId="1" fillId="0" borderId="55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164" fontId="2" fillId="0" borderId="36" xfId="0" applyNumberFormat="1" applyFont="1" applyBorder="1"/>
    <xf numFmtId="164" fontId="10" fillId="0" borderId="37" xfId="0" applyNumberFormat="1" applyFont="1" applyBorder="1"/>
    <xf numFmtId="164" fontId="2" fillId="0" borderId="63" xfId="0" applyNumberFormat="1" applyFont="1" applyBorder="1"/>
    <xf numFmtId="1" fontId="2" fillId="0" borderId="37" xfId="0" applyNumberFormat="1" applyFont="1" applyBorder="1"/>
    <xf numFmtId="2" fontId="2" fillId="0" borderId="12" xfId="0" applyNumberFormat="1" applyFont="1" applyBorder="1" applyAlignment="1">
      <alignment horizontal="center"/>
    </xf>
    <xf numFmtId="0" fontId="2" fillId="0" borderId="56" xfId="0" applyFont="1" applyBorder="1" applyAlignment="1">
      <alignment horizontal="center" vertical="center"/>
    </xf>
    <xf numFmtId="164" fontId="2" fillId="0" borderId="38" xfId="0" applyNumberFormat="1" applyFont="1" applyBorder="1"/>
    <xf numFmtId="164" fontId="2" fillId="0" borderId="32" xfId="0" applyNumberFormat="1" applyFont="1" applyBorder="1"/>
    <xf numFmtId="164" fontId="2" fillId="0" borderId="65" xfId="0" applyNumberFormat="1" applyFont="1" applyBorder="1"/>
    <xf numFmtId="1" fontId="2" fillId="0" borderId="41" xfId="0" applyNumberFormat="1" applyFont="1" applyBorder="1"/>
    <xf numFmtId="0" fontId="2" fillId="0" borderId="41" xfId="0" applyFont="1" applyBorder="1"/>
    <xf numFmtId="2" fontId="2" fillId="0" borderId="43" xfId="0" applyNumberFormat="1" applyFont="1" applyBorder="1" applyAlignment="1">
      <alignment horizontal="center"/>
    </xf>
    <xf numFmtId="164" fontId="10" fillId="0" borderId="41" xfId="0" applyNumberFormat="1" applyFont="1" applyBorder="1"/>
    <xf numFmtId="1" fontId="2" fillId="0" borderId="56" xfId="0" applyNumberFormat="1" applyFont="1" applyBorder="1"/>
    <xf numFmtId="0" fontId="2" fillId="0" borderId="57" xfId="0" applyFont="1" applyBorder="1" applyAlignment="1">
      <alignment horizontal="center" vertical="center"/>
    </xf>
    <xf numFmtId="0" fontId="13" fillId="2" borderId="50" xfId="0" applyFont="1" applyFill="1" applyBorder="1" applyAlignment="1">
      <alignment horizontal="center" vertical="center"/>
    </xf>
    <xf numFmtId="164" fontId="2" fillId="2" borderId="51" xfId="0" applyNumberFormat="1" applyFont="1" applyFill="1" applyBorder="1" applyAlignment="1">
      <alignment horizontal="center"/>
    </xf>
    <xf numFmtId="164" fontId="2" fillId="2" borderId="59" xfId="0" applyNumberFormat="1" applyFont="1" applyFill="1" applyBorder="1" applyAlignment="1">
      <alignment horizontal="center"/>
    </xf>
    <xf numFmtId="1" fontId="2" fillId="2" borderId="53" xfId="0" applyNumberFormat="1" applyFont="1" applyFill="1" applyBorder="1" applyAlignment="1">
      <alignment horizontal="center"/>
    </xf>
    <xf numFmtId="1" fontId="2" fillId="2" borderId="51" xfId="0" applyNumberFormat="1" applyFont="1" applyFill="1" applyBorder="1" applyAlignment="1">
      <alignment horizontal="center"/>
    </xf>
    <xf numFmtId="164" fontId="2" fillId="2" borderId="55" xfId="0" applyNumberFormat="1" applyFont="1" applyFill="1" applyBorder="1" applyAlignment="1">
      <alignment horizontal="center"/>
    </xf>
    <xf numFmtId="164" fontId="2" fillId="2" borderId="69" xfId="0" applyNumberFormat="1" applyFont="1" applyFill="1" applyBorder="1" applyAlignment="1">
      <alignment horizontal="center"/>
    </xf>
    <xf numFmtId="0" fontId="2" fillId="0" borderId="60" xfId="0" applyFont="1" applyBorder="1" applyAlignment="1">
      <alignment horizontal="center" vertical="center"/>
    </xf>
    <xf numFmtId="164" fontId="2" fillId="0" borderId="31" xfId="0" applyNumberFormat="1" applyFont="1" applyBorder="1"/>
    <xf numFmtId="164" fontId="10" fillId="0" borderId="32" xfId="0" applyNumberFormat="1" applyFont="1" applyBorder="1"/>
    <xf numFmtId="164" fontId="2" fillId="0" borderId="33" xfId="0" applyNumberFormat="1" applyFont="1" applyBorder="1"/>
    <xf numFmtId="1" fontId="2" fillId="0" borderId="33" xfId="0" applyNumberFormat="1" applyFont="1" applyBorder="1"/>
    <xf numFmtId="164" fontId="10" fillId="0" borderId="38" xfId="0" applyNumberFormat="1" applyFont="1" applyBorder="1"/>
    <xf numFmtId="1" fontId="2" fillId="0" borderId="57" xfId="0" applyNumberFormat="1" applyFont="1" applyBorder="1"/>
    <xf numFmtId="2" fontId="2" fillId="0" borderId="72" xfId="0" applyNumberFormat="1" applyFont="1" applyBorder="1" applyAlignment="1">
      <alignment horizontal="center"/>
    </xf>
    <xf numFmtId="164" fontId="2" fillId="0" borderId="70" xfId="0" applyNumberFormat="1" applyFont="1" applyBorder="1"/>
    <xf numFmtId="0" fontId="13" fillId="2" borderId="49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74" xfId="0" applyNumberFormat="1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2" fontId="2" fillId="3" borderId="55" xfId="0" applyNumberFormat="1" applyFont="1" applyFill="1" applyBorder="1" applyAlignment="1">
      <alignment horizontal="center"/>
    </xf>
    <xf numFmtId="164" fontId="2" fillId="4" borderId="53" xfId="0" applyNumberFormat="1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2" fillId="0" borderId="49" xfId="0" applyFont="1" applyBorder="1" applyAlignment="1">
      <alignment horizontal="center"/>
    </xf>
    <xf numFmtId="0" fontId="1" fillId="0" borderId="10" xfId="0" applyFont="1" applyBorder="1"/>
    <xf numFmtId="164" fontId="1" fillId="0" borderId="37" xfId="0" applyNumberFormat="1" applyFont="1" applyBorder="1" applyAlignment="1">
      <alignment vertical="center"/>
    </xf>
    <xf numFmtId="0" fontId="1" fillId="0" borderId="18" xfId="0" applyFont="1" applyBorder="1"/>
    <xf numFmtId="1" fontId="1" fillId="0" borderId="62" xfId="0" applyNumberFormat="1" applyFont="1" applyBorder="1"/>
    <xf numFmtId="1" fontId="1" fillId="0" borderId="56" xfId="0" applyNumberFormat="1" applyFont="1" applyBorder="1"/>
    <xf numFmtId="164" fontId="14" fillId="0" borderId="17" xfId="0" applyNumberFormat="1" applyFont="1" applyBorder="1"/>
    <xf numFmtId="1" fontId="1" fillId="0" borderId="18" xfId="0" applyNumberFormat="1" applyFont="1" applyBorder="1"/>
    <xf numFmtId="164" fontId="1" fillId="3" borderId="49" xfId="0" applyNumberFormat="1" applyFont="1" applyFill="1" applyBorder="1" applyAlignment="1">
      <alignment horizontal="center"/>
    </xf>
    <xf numFmtId="164" fontId="6" fillId="0" borderId="35" xfId="0" applyNumberFormat="1" applyFont="1" applyBorder="1"/>
    <xf numFmtId="164" fontId="6" fillId="0" borderId="37" xfId="0" applyNumberFormat="1" applyFont="1" applyBorder="1"/>
    <xf numFmtId="0" fontId="6" fillId="0" borderId="13" xfId="0" applyFont="1" applyBorder="1"/>
    <xf numFmtId="1" fontId="6" fillId="0" borderId="71" xfId="0" applyNumberFormat="1" applyFont="1" applyBorder="1"/>
    <xf numFmtId="0" fontId="6" fillId="0" borderId="37" xfId="0" applyFont="1" applyBorder="1"/>
    <xf numFmtId="2" fontId="6" fillId="0" borderId="37" xfId="0" applyNumberFormat="1" applyFont="1" applyBorder="1" applyAlignment="1">
      <alignment horizontal="center"/>
    </xf>
    <xf numFmtId="164" fontId="6" fillId="0" borderId="40" xfId="0" applyNumberFormat="1" applyFont="1" applyBorder="1"/>
    <xf numFmtId="0" fontId="6" fillId="0" borderId="39" xfId="0" applyFont="1" applyBorder="1"/>
    <xf numFmtId="1" fontId="6" fillId="0" borderId="42" xfId="0" applyNumberFormat="1" applyFont="1" applyBorder="1"/>
    <xf numFmtId="0" fontId="6" fillId="0" borderId="41" xfId="0" applyFont="1" applyBorder="1"/>
    <xf numFmtId="2" fontId="6" fillId="0" borderId="41" xfId="0" applyNumberFormat="1" applyFont="1" applyBorder="1" applyAlignment="1">
      <alignment horizontal="center"/>
    </xf>
    <xf numFmtId="0" fontId="6" fillId="0" borderId="30" xfId="0" applyFont="1" applyBorder="1"/>
    <xf numFmtId="1" fontId="6" fillId="0" borderId="34" xfId="0" applyNumberFormat="1" applyFont="1" applyBorder="1"/>
    <xf numFmtId="0" fontId="6" fillId="0" borderId="33" xfId="0" applyFont="1" applyBorder="1"/>
    <xf numFmtId="164" fontId="1" fillId="0" borderId="48" xfId="0" applyNumberFormat="1" applyFont="1" applyBorder="1" applyAlignment="1">
      <alignment vertical="center"/>
    </xf>
    <xf numFmtId="1" fontId="6" fillId="0" borderId="70" xfId="0" applyNumberFormat="1" applyFont="1" applyBorder="1"/>
    <xf numFmtId="0" fontId="6" fillId="0" borderId="48" xfId="0" applyFont="1" applyBorder="1"/>
    <xf numFmtId="164" fontId="1" fillId="3" borderId="24" xfId="0" applyNumberFormat="1" applyFont="1" applyFill="1" applyBorder="1" applyAlignment="1">
      <alignment horizontal="center"/>
    </xf>
    <xf numFmtId="164" fontId="1" fillId="3" borderId="62" xfId="0" applyNumberFormat="1" applyFont="1" applyFill="1" applyBorder="1" applyAlignment="1">
      <alignment horizontal="center"/>
    </xf>
    <xf numFmtId="164" fontId="8" fillId="0" borderId="37" xfId="0" applyNumberFormat="1" applyFont="1" applyBorder="1"/>
    <xf numFmtId="164" fontId="6" fillId="0" borderId="34" xfId="0" applyNumberFormat="1" applyFont="1" applyBorder="1"/>
    <xf numFmtId="0" fontId="7" fillId="0" borderId="35" xfId="0" applyFont="1" applyBorder="1"/>
    <xf numFmtId="1" fontId="7" fillId="0" borderId="36" xfId="0" applyNumberFormat="1" applyFont="1" applyBorder="1"/>
    <xf numFmtId="2" fontId="8" fillId="0" borderId="12" xfId="0" applyNumberFormat="1" applyFont="1" applyBorder="1" applyAlignment="1">
      <alignment horizontal="center"/>
    </xf>
    <xf numFmtId="0" fontId="6" fillId="0" borderId="32" xfId="0" applyFont="1" applyBorder="1"/>
    <xf numFmtId="164" fontId="6" fillId="0" borderId="33" xfId="0" applyNumberFormat="1" applyFont="1" applyBorder="1"/>
    <xf numFmtId="0" fontId="7" fillId="0" borderId="40" xfId="0" applyFont="1" applyBorder="1"/>
    <xf numFmtId="2" fontId="8" fillId="0" borderId="43" xfId="0" applyNumberFormat="1" applyFont="1" applyBorder="1" applyAlignment="1">
      <alignment horizontal="center"/>
    </xf>
    <xf numFmtId="164" fontId="8" fillId="0" borderId="38" xfId="0" applyNumberFormat="1" applyFont="1" applyBorder="1"/>
    <xf numFmtId="164" fontId="7" fillId="0" borderId="31" xfId="0" applyNumberFormat="1" applyFont="1" applyBorder="1"/>
    <xf numFmtId="0" fontId="7" fillId="0" borderId="31" xfId="0" applyFont="1" applyBorder="1"/>
    <xf numFmtId="1" fontId="7" fillId="0" borderId="32" xfId="0" applyNumberFormat="1" applyFont="1" applyBorder="1"/>
    <xf numFmtId="1" fontId="7" fillId="2" borderId="26" xfId="0" applyNumberFormat="1" applyFont="1" applyFill="1" applyBorder="1"/>
    <xf numFmtId="1" fontId="7" fillId="2" borderId="27" xfId="0" applyNumberFormat="1" applyFont="1" applyFill="1" applyBorder="1"/>
    <xf numFmtId="1" fontId="7" fillId="2" borderId="5" xfId="0" applyNumberFormat="1" applyFont="1" applyFill="1" applyBorder="1"/>
    <xf numFmtId="2" fontId="7" fillId="2" borderId="59" xfId="0" applyNumberFormat="1" applyFont="1" applyFill="1" applyBorder="1"/>
    <xf numFmtId="164" fontId="8" fillId="0" borderId="41" xfId="0" applyNumberFormat="1" applyFont="1" applyBorder="1" applyAlignment="1">
      <alignment horizontal="right" vertical="center" wrapText="1"/>
    </xf>
    <xf numFmtId="164" fontId="7" fillId="0" borderId="40" xfId="0" applyNumberFormat="1" applyFont="1" applyBorder="1" applyAlignment="1">
      <alignment horizontal="right" vertical="center" wrapText="1"/>
    </xf>
    <xf numFmtId="164" fontId="8" fillId="0" borderId="38" xfId="0" applyNumberFormat="1" applyFont="1" applyBorder="1" applyAlignment="1">
      <alignment horizontal="right" vertical="center" wrapText="1"/>
    </xf>
    <xf numFmtId="164" fontId="7" fillId="0" borderId="46" xfId="0" applyNumberFormat="1" applyFont="1" applyBorder="1" applyAlignment="1">
      <alignment horizontal="right" vertical="center" wrapText="1"/>
    </xf>
    <xf numFmtId="164" fontId="8" fillId="0" borderId="48" xfId="0" applyNumberFormat="1" applyFont="1" applyBorder="1" applyAlignment="1">
      <alignment horizontal="right" vertical="center" wrapText="1"/>
    </xf>
    <xf numFmtId="1" fontId="7" fillId="0" borderId="47" xfId="0" applyNumberFormat="1" applyFont="1" applyBorder="1"/>
    <xf numFmtId="0" fontId="7" fillId="0" borderId="48" xfId="0" applyFont="1" applyBorder="1"/>
    <xf numFmtId="0" fontId="7" fillId="0" borderId="60" xfId="0" applyFont="1" applyBorder="1"/>
    <xf numFmtId="1" fontId="7" fillId="0" borderId="56" xfId="0" applyNumberFormat="1" applyFont="1" applyBorder="1"/>
    <xf numFmtId="0" fontId="7" fillId="0" borderId="56" xfId="0" applyFont="1" applyBorder="1"/>
    <xf numFmtId="2" fontId="8" fillId="0" borderId="72" xfId="0" applyNumberFormat="1" applyFont="1" applyBorder="1" applyAlignment="1">
      <alignment horizontal="center"/>
    </xf>
    <xf numFmtId="1" fontId="2" fillId="2" borderId="62" xfId="0" applyNumberFormat="1" applyFont="1" applyFill="1" applyBorder="1" applyAlignment="1">
      <alignment horizontal="center"/>
    </xf>
    <xf numFmtId="2" fontId="2" fillId="2" borderId="59" xfId="0" applyNumberFormat="1" applyFont="1" applyFill="1" applyBorder="1" applyAlignment="1">
      <alignment horizontal="center"/>
    </xf>
    <xf numFmtId="164" fontId="2" fillId="3" borderId="22" xfId="0" applyNumberFormat="1" applyFont="1" applyFill="1" applyBorder="1" applyAlignment="1">
      <alignment horizontal="center"/>
    </xf>
    <xf numFmtId="2" fontId="2" fillId="3" borderId="59" xfId="0" applyNumberFormat="1" applyFont="1" applyFill="1" applyBorder="1" applyAlignment="1">
      <alignment horizontal="center"/>
    </xf>
    <xf numFmtId="164" fontId="0" fillId="0" borderId="35" xfId="0" applyNumberFormat="1" applyBorder="1"/>
    <xf numFmtId="164" fontId="0" fillId="0" borderId="36" xfId="0" applyNumberFormat="1" applyBorder="1"/>
    <xf numFmtId="164" fontId="15" fillId="0" borderId="37" xfId="0" applyNumberFormat="1" applyFont="1" applyBorder="1"/>
    <xf numFmtId="0" fontId="0" fillId="0" borderId="35" xfId="0" applyBorder="1"/>
    <xf numFmtId="1" fontId="0" fillId="0" borderId="36" xfId="0" applyNumberFormat="1" applyBorder="1"/>
    <xf numFmtId="0" fontId="0" fillId="0" borderId="37" xfId="0" applyBorder="1"/>
    <xf numFmtId="164" fontId="8" fillId="0" borderId="32" xfId="0" applyNumberFormat="1" applyFont="1" applyBorder="1"/>
    <xf numFmtId="164" fontId="8" fillId="0" borderId="33" xfId="0" applyNumberFormat="1" applyFont="1" applyBorder="1"/>
    <xf numFmtId="164" fontId="0" fillId="0" borderId="40" xfId="0" applyNumberFormat="1" applyBorder="1"/>
    <xf numFmtId="164" fontId="0" fillId="0" borderId="38" xfId="0" applyNumberFormat="1" applyBorder="1"/>
    <xf numFmtId="164" fontId="0" fillId="0" borderId="32" xfId="0" applyNumberFormat="1" applyBorder="1"/>
    <xf numFmtId="164" fontId="15" fillId="0" borderId="41" xfId="0" applyNumberFormat="1" applyFont="1" applyBorder="1"/>
    <xf numFmtId="0" fontId="0" fillId="0" borderId="40" xfId="0" applyBorder="1"/>
    <xf numFmtId="1" fontId="0" fillId="0" borderId="38" xfId="0" applyNumberFormat="1" applyBorder="1"/>
    <xf numFmtId="0" fontId="0" fillId="0" borderId="41" xfId="0" applyBorder="1"/>
    <xf numFmtId="164" fontId="15" fillId="0" borderId="38" xfId="0" applyNumberFormat="1" applyFont="1" applyBorder="1"/>
    <xf numFmtId="164" fontId="0" fillId="0" borderId="41" xfId="0" applyNumberFormat="1" applyBorder="1"/>
    <xf numFmtId="0" fontId="0" fillId="0" borderId="46" xfId="0" applyBorder="1"/>
    <xf numFmtId="1" fontId="0" fillId="0" borderId="47" xfId="0" applyNumberFormat="1" applyBorder="1"/>
    <xf numFmtId="0" fontId="0" fillId="0" borderId="48" xfId="0" applyBorder="1"/>
    <xf numFmtId="1" fontId="7" fillId="2" borderId="54" xfId="0" applyNumberFormat="1" applyFont="1" applyFill="1" applyBorder="1"/>
    <xf numFmtId="0" fontId="0" fillId="0" borderId="31" xfId="0" applyBorder="1"/>
    <xf numFmtId="1" fontId="0" fillId="0" borderId="32" xfId="0" applyNumberFormat="1" applyBorder="1"/>
    <xf numFmtId="0" fontId="0" fillId="0" borderId="33" xfId="0" applyBorder="1"/>
    <xf numFmtId="164" fontId="15" fillId="0" borderId="32" xfId="0" applyNumberFormat="1" applyFont="1" applyBorder="1"/>
    <xf numFmtId="1" fontId="0" fillId="0" borderId="41" xfId="0" applyNumberFormat="1" applyBorder="1"/>
    <xf numFmtId="164" fontId="0" fillId="0" borderId="40" xfId="0" applyNumberFormat="1" applyBorder="1" applyAlignment="1">
      <alignment horizontal="right" vertical="center" wrapText="1"/>
    </xf>
    <xf numFmtId="164" fontId="0" fillId="0" borderId="38" xfId="0" applyNumberFormat="1" applyBorder="1" applyAlignment="1">
      <alignment horizontal="right" vertical="center" wrapText="1"/>
    </xf>
    <xf numFmtId="164" fontId="15" fillId="0" borderId="41" xfId="0" applyNumberFormat="1" applyFont="1" applyBorder="1" applyAlignment="1">
      <alignment horizontal="right" vertical="center" wrapText="1"/>
    </xf>
    <xf numFmtId="164" fontId="15" fillId="0" borderId="38" xfId="0" applyNumberFormat="1" applyFont="1" applyBorder="1" applyAlignment="1">
      <alignment horizontal="right" vertical="center" wrapText="1"/>
    </xf>
    <xf numFmtId="2" fontId="2" fillId="0" borderId="45" xfId="0" applyNumberFormat="1" applyFont="1" applyBorder="1"/>
    <xf numFmtId="164" fontId="7" fillId="0" borderId="46" xfId="0" applyNumberFormat="1" applyFont="1" applyBorder="1"/>
    <xf numFmtId="164" fontId="7" fillId="0" borderId="28" xfId="0" applyNumberFormat="1" applyFont="1" applyBorder="1"/>
    <xf numFmtId="164" fontId="2" fillId="3" borderId="29" xfId="0" applyNumberFormat="1" applyFont="1" applyFill="1" applyBorder="1" applyAlignment="1">
      <alignment horizontal="center"/>
    </xf>
    <xf numFmtId="164" fontId="0" fillId="0" borderId="0" xfId="0" applyNumberFormat="1"/>
    <xf numFmtId="0" fontId="1" fillId="0" borderId="12" xfId="0" applyFont="1" applyBorder="1"/>
    <xf numFmtId="164" fontId="10" fillId="0" borderId="33" xfId="0" applyNumberFormat="1" applyFont="1" applyBorder="1"/>
    <xf numFmtId="0" fontId="1" fillId="0" borderId="43" xfId="0" applyFont="1" applyBorder="1"/>
    <xf numFmtId="1" fontId="1" fillId="0" borderId="43" xfId="0" applyNumberFormat="1" applyFont="1" applyBorder="1"/>
    <xf numFmtId="1" fontId="1" fillId="0" borderId="64" xfId="0" applyNumberFormat="1" applyFont="1" applyBorder="1"/>
    <xf numFmtId="1" fontId="1" fillId="2" borderId="51" xfId="0" applyNumberFormat="1" applyFont="1" applyFill="1" applyBorder="1"/>
    <xf numFmtId="1" fontId="1" fillId="2" borderId="52" xfId="0" applyNumberFormat="1" applyFont="1" applyFill="1" applyBorder="1"/>
    <xf numFmtId="164" fontId="1" fillId="0" borderId="18" xfId="0" applyNumberFormat="1" applyFont="1" applyBorder="1"/>
    <xf numFmtId="1" fontId="1" fillId="0" borderId="20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6" fillId="0" borderId="31" xfId="0" applyNumberFormat="1" applyFont="1" applyBorder="1"/>
    <xf numFmtId="164" fontId="2" fillId="0" borderId="11" xfId="0" applyNumberFormat="1" applyFont="1" applyBorder="1"/>
    <xf numFmtId="0" fontId="9" fillId="2" borderId="6" xfId="0" applyFont="1" applyFill="1" applyBorder="1"/>
    <xf numFmtId="2" fontId="2" fillId="2" borderId="52" xfId="0" applyNumberFormat="1" applyFont="1" applyFill="1" applyBorder="1" applyAlignment="1">
      <alignment horizontal="right"/>
    </xf>
    <xf numFmtId="2" fontId="7" fillId="0" borderId="43" xfId="0" applyNumberFormat="1" applyFont="1" applyBorder="1" applyAlignment="1">
      <alignment horizontal="center"/>
    </xf>
    <xf numFmtId="1" fontId="2" fillId="0" borderId="15" xfId="0" applyNumberFormat="1" applyFont="1" applyBorder="1"/>
    <xf numFmtId="2" fontId="2" fillId="0" borderId="20" xfId="0" applyNumberFormat="1" applyFont="1" applyBorder="1" applyAlignment="1">
      <alignment horizontal="right"/>
    </xf>
    <xf numFmtId="2" fontId="2" fillId="2" borderId="8" xfId="0" applyNumberFormat="1" applyFont="1" applyFill="1" applyBorder="1" applyAlignment="1">
      <alignment horizontal="right"/>
    </xf>
    <xf numFmtId="164" fontId="2" fillId="0" borderId="12" xfId="0" applyNumberFormat="1" applyFont="1" applyBorder="1"/>
    <xf numFmtId="0" fontId="2" fillId="0" borderId="33" xfId="0" applyFont="1" applyBorder="1"/>
    <xf numFmtId="1" fontId="2" fillId="0" borderId="34" xfId="0" applyNumberFormat="1" applyFont="1" applyBorder="1"/>
    <xf numFmtId="2" fontId="2" fillId="0" borderId="71" xfId="0" applyNumberFormat="1" applyFont="1" applyBorder="1" applyAlignment="1">
      <alignment horizontal="center"/>
    </xf>
    <xf numFmtId="164" fontId="1" fillId="0" borderId="64" xfId="0" applyNumberFormat="1" applyFont="1" applyBorder="1"/>
    <xf numFmtId="1" fontId="2" fillId="0" borderId="42" xfId="0" applyNumberFormat="1" applyFont="1" applyBorder="1"/>
    <xf numFmtId="2" fontId="2" fillId="0" borderId="42" xfId="0" applyNumberFormat="1" applyFont="1" applyBorder="1" applyAlignment="1">
      <alignment horizontal="center"/>
    </xf>
    <xf numFmtId="164" fontId="10" fillId="0" borderId="43" xfId="0" applyNumberFormat="1" applyFont="1" applyBorder="1"/>
    <xf numFmtId="0" fontId="2" fillId="0" borderId="48" xfId="0" applyFont="1" applyBorder="1"/>
    <xf numFmtId="164" fontId="1" fillId="0" borderId="5" xfId="0" applyNumberFormat="1" applyFont="1" applyBorder="1"/>
    <xf numFmtId="164" fontId="2" fillId="2" borderId="27" xfId="0" applyNumberFormat="1" applyFont="1" applyFill="1" applyBorder="1"/>
    <xf numFmtId="164" fontId="1" fillId="2" borderId="52" xfId="0" applyNumberFormat="1" applyFont="1" applyFill="1" applyBorder="1"/>
    <xf numFmtId="1" fontId="2" fillId="0" borderId="70" xfId="0" applyNumberFormat="1" applyFont="1" applyBorder="1"/>
    <xf numFmtId="0" fontId="2" fillId="0" borderId="38" xfId="0" applyFont="1" applyBorder="1"/>
    <xf numFmtId="1" fontId="10" fillId="0" borderId="34" xfId="0" applyNumberFormat="1" applyFont="1" applyBorder="1"/>
    <xf numFmtId="0" fontId="10" fillId="0" borderId="33" xfId="0" applyFont="1" applyBorder="1"/>
    <xf numFmtId="0" fontId="2" fillId="0" borderId="40" xfId="0" applyFont="1" applyBorder="1"/>
    <xf numFmtId="1" fontId="10" fillId="0" borderId="42" xfId="0" applyNumberFormat="1" applyFont="1" applyBorder="1"/>
    <xf numFmtId="0" fontId="10" fillId="0" borderId="48" xfId="0" applyFont="1" applyBorder="1"/>
    <xf numFmtId="164" fontId="2" fillId="0" borderId="15" xfId="0" applyNumberFormat="1" applyFont="1" applyBorder="1" applyAlignment="1">
      <alignment horizontal="right" vertical="center" wrapText="1"/>
    </xf>
    <xf numFmtId="164" fontId="2" fillId="0" borderId="16" xfId="0" applyNumberFormat="1" applyFont="1" applyBorder="1" applyAlignment="1">
      <alignment horizontal="right" vertical="center" wrapText="1"/>
    </xf>
    <xf numFmtId="0" fontId="2" fillId="0" borderId="61" xfId="0" applyFont="1" applyBorder="1"/>
    <xf numFmtId="1" fontId="2" fillId="0" borderId="17" xfId="0" applyNumberFormat="1" applyFont="1" applyBorder="1"/>
    <xf numFmtId="2" fontId="2" fillId="0" borderId="17" xfId="0" applyNumberFormat="1" applyFont="1" applyBorder="1" applyAlignment="1">
      <alignment horizontal="center"/>
    </xf>
    <xf numFmtId="2" fontId="2" fillId="2" borderId="59" xfId="0" applyNumberFormat="1" applyFont="1" applyFill="1" applyBorder="1"/>
    <xf numFmtId="164" fontId="2" fillId="5" borderId="66" xfId="0" applyNumberFormat="1" applyFont="1" applyFill="1" applyBorder="1"/>
    <xf numFmtId="164" fontId="2" fillId="5" borderId="9" xfId="0" applyNumberFormat="1" applyFont="1" applyFill="1" applyBorder="1"/>
    <xf numFmtId="2" fontId="2" fillId="5" borderId="1" xfId="0" applyNumberFormat="1" applyFont="1" applyFill="1" applyBorder="1"/>
    <xf numFmtId="164" fontId="2" fillId="5" borderId="53" xfId="0" applyNumberFormat="1" applyFont="1" applyFill="1" applyBorder="1"/>
    <xf numFmtId="164" fontId="2" fillId="5" borderId="49" xfId="0" applyNumberFormat="1" applyFont="1" applyFill="1" applyBorder="1"/>
    <xf numFmtId="2" fontId="2" fillId="5" borderId="50" xfId="0" applyNumberFormat="1" applyFont="1" applyFill="1" applyBorder="1"/>
    <xf numFmtId="164" fontId="2" fillId="0" borderId="10" xfId="0" applyNumberFormat="1" applyFont="1" applyBorder="1"/>
    <xf numFmtId="164" fontId="2" fillId="0" borderId="71" xfId="0" applyNumberFormat="1" applyFont="1" applyBorder="1"/>
    <xf numFmtId="164" fontId="2" fillId="0" borderId="37" xfId="0" applyNumberFormat="1" applyFont="1" applyBorder="1"/>
    <xf numFmtId="1" fontId="2" fillId="0" borderId="36" xfId="0" applyNumberFormat="1" applyFont="1" applyBorder="1"/>
    <xf numFmtId="2" fontId="2" fillId="0" borderId="11" xfId="0" applyNumberFormat="1" applyFont="1" applyBorder="1" applyAlignment="1">
      <alignment horizontal="center"/>
    </xf>
    <xf numFmtId="1" fontId="2" fillId="0" borderId="38" xfId="0" applyNumberFormat="1" applyFont="1" applyBorder="1"/>
    <xf numFmtId="2" fontId="2" fillId="0" borderId="65" xfId="0" applyNumberFormat="1" applyFont="1" applyBorder="1" applyAlignment="1">
      <alignment horizontal="center"/>
    </xf>
    <xf numFmtId="164" fontId="2" fillId="0" borderId="4" xfId="0" applyNumberFormat="1" applyFont="1" applyBorder="1"/>
    <xf numFmtId="164" fontId="2" fillId="0" borderId="58" xfId="0" applyNumberFormat="1" applyFont="1" applyBorder="1"/>
    <xf numFmtId="2" fontId="2" fillId="0" borderId="45" xfId="0" applyNumberFormat="1" applyFont="1" applyBorder="1" applyAlignment="1">
      <alignment horizontal="center"/>
    </xf>
    <xf numFmtId="164" fontId="2" fillId="0" borderId="26" xfId="0" applyNumberFormat="1" applyFont="1" applyBorder="1"/>
    <xf numFmtId="164" fontId="7" fillId="2" borderId="59" xfId="0" applyNumberFormat="1" applyFont="1" applyFill="1" applyBorder="1" applyAlignment="1">
      <alignment horizontal="right"/>
    </xf>
    <xf numFmtId="1" fontId="2" fillId="0" borderId="32" xfId="0" applyNumberFormat="1" applyFont="1" applyBorder="1"/>
    <xf numFmtId="2" fontId="2" fillId="0" borderId="63" xfId="0" applyNumberFormat="1" applyFont="1" applyBorder="1" applyAlignment="1">
      <alignment horizontal="center"/>
    </xf>
    <xf numFmtId="164" fontId="2" fillId="0" borderId="25" xfId="0" applyNumberFormat="1" applyFont="1" applyBorder="1"/>
    <xf numFmtId="164" fontId="2" fillId="0" borderId="62" xfId="0" applyNumberFormat="1" applyFont="1" applyBorder="1"/>
    <xf numFmtId="164" fontId="2" fillId="0" borderId="23" xfId="0" applyNumberFormat="1" applyFont="1" applyBorder="1"/>
    <xf numFmtId="164" fontId="1" fillId="2" borderId="51" xfId="0" applyNumberFormat="1" applyFont="1" applyFill="1" applyBorder="1"/>
    <xf numFmtId="164" fontId="1" fillId="2" borderId="54" xfId="0" applyNumberFormat="1" applyFont="1" applyFill="1" applyBorder="1"/>
    <xf numFmtId="164" fontId="1" fillId="2" borderId="59" xfId="0" applyNumberFormat="1" applyFont="1" applyFill="1" applyBorder="1"/>
    <xf numFmtId="1" fontId="1" fillId="2" borderId="74" xfId="0" applyNumberFormat="1" applyFont="1" applyFill="1" applyBorder="1"/>
    <xf numFmtId="1" fontId="1" fillId="2" borderId="28" xfId="0" applyNumberFormat="1" applyFont="1" applyFill="1" applyBorder="1"/>
    <xf numFmtId="164" fontId="7" fillId="2" borderId="55" xfId="0" applyNumberFormat="1" applyFont="1" applyFill="1" applyBorder="1" applyAlignment="1">
      <alignment horizontal="right"/>
    </xf>
    <xf numFmtId="164" fontId="1" fillId="2" borderId="67" xfId="0" applyNumberFormat="1" applyFont="1" applyFill="1" applyBorder="1"/>
    <xf numFmtId="0" fontId="2" fillId="0" borderId="37" xfId="0" applyFont="1" applyBorder="1"/>
    <xf numFmtId="164" fontId="1" fillId="2" borderId="35" xfId="0" applyNumberFormat="1" applyFont="1" applyFill="1" applyBorder="1"/>
    <xf numFmtId="164" fontId="1" fillId="2" borderId="36" xfId="0" applyNumberFormat="1" applyFont="1" applyFill="1" applyBorder="1"/>
    <xf numFmtId="164" fontId="1" fillId="2" borderId="37" xfId="0" applyNumberFormat="1" applyFont="1" applyFill="1" applyBorder="1"/>
    <xf numFmtId="164" fontId="1" fillId="2" borderId="11" xfId="0" applyNumberFormat="1" applyFont="1" applyFill="1" applyBorder="1"/>
    <xf numFmtId="1" fontId="1" fillId="2" borderId="31" xfId="0" applyNumberFormat="1" applyFont="1" applyFill="1" applyBorder="1"/>
    <xf numFmtId="1" fontId="1" fillId="2" borderId="32" xfId="0" applyNumberFormat="1" applyFont="1" applyFill="1" applyBorder="1"/>
    <xf numFmtId="1" fontId="1" fillId="2" borderId="33" xfId="0" applyNumberFormat="1" applyFont="1" applyFill="1" applyBorder="1"/>
    <xf numFmtId="164" fontId="1" fillId="2" borderId="12" xfId="0" applyNumberFormat="1" applyFont="1" applyFill="1" applyBorder="1"/>
    <xf numFmtId="164" fontId="1" fillId="6" borderId="19" xfId="0" applyNumberFormat="1" applyFont="1" applyFill="1" applyBorder="1"/>
    <xf numFmtId="164" fontId="1" fillId="6" borderId="50" xfId="0" applyNumberFormat="1" applyFont="1" applyFill="1" applyBorder="1"/>
    <xf numFmtId="164" fontId="1" fillId="6" borderId="53" xfId="0" applyNumberFormat="1" applyFont="1" applyFill="1" applyBorder="1"/>
    <xf numFmtId="164" fontId="1" fillId="6" borderId="54" xfId="0" applyNumberFormat="1" applyFont="1" applyFill="1" applyBorder="1"/>
    <xf numFmtId="164" fontId="1" fillId="6" borderId="8" xfId="0" applyNumberFormat="1" applyFont="1" applyFill="1" applyBorder="1"/>
    <xf numFmtId="164" fontId="2" fillId="0" borderId="77" xfId="0" applyNumberFormat="1" applyFont="1" applyBorder="1"/>
    <xf numFmtId="0" fontId="2" fillId="0" borderId="64" xfId="0" applyFont="1" applyBorder="1"/>
    <xf numFmtId="0" fontId="2" fillId="0" borderId="34" xfId="0" applyFont="1" applyBorder="1"/>
    <xf numFmtId="2" fontId="2" fillId="0" borderId="36" xfId="0" applyNumberFormat="1" applyFont="1" applyBorder="1" applyAlignment="1">
      <alignment horizontal="center"/>
    </xf>
    <xf numFmtId="164" fontId="2" fillId="0" borderId="76" xfId="0" applyNumberFormat="1" applyFont="1" applyBorder="1"/>
    <xf numFmtId="0" fontId="2" fillId="0" borderId="43" xfId="0" applyFont="1" applyBorder="1"/>
    <xf numFmtId="0" fontId="2" fillId="0" borderId="42" xfId="0" applyFont="1" applyBorder="1"/>
    <xf numFmtId="2" fontId="2" fillId="0" borderId="38" xfId="0" applyNumberFormat="1" applyFont="1" applyBorder="1" applyAlignment="1">
      <alignment horizontal="center"/>
    </xf>
    <xf numFmtId="1" fontId="2" fillId="0" borderId="43" xfId="0" applyNumberFormat="1" applyFont="1" applyBorder="1"/>
    <xf numFmtId="2" fontId="2" fillId="0" borderId="41" xfId="0" applyNumberFormat="1" applyFont="1" applyBorder="1" applyAlignment="1">
      <alignment horizontal="center"/>
    </xf>
    <xf numFmtId="1" fontId="2" fillId="0" borderId="40" xfId="0" applyNumberFormat="1" applyFont="1" applyBorder="1"/>
    <xf numFmtId="2" fontId="2" fillId="0" borderId="13" xfId="0" applyNumberFormat="1" applyFont="1" applyBorder="1" applyAlignment="1">
      <alignment horizontal="center"/>
    </xf>
    <xf numFmtId="2" fontId="2" fillId="0" borderId="39" xfId="0" applyNumberFormat="1" applyFont="1" applyBorder="1" applyAlignment="1">
      <alignment horizontal="center"/>
    </xf>
    <xf numFmtId="1" fontId="2" fillId="0" borderId="44" xfId="0" applyNumberFormat="1" applyFont="1" applyBorder="1"/>
    <xf numFmtId="2" fontId="2" fillId="0" borderId="21" xfId="0" applyNumberFormat="1" applyFont="1" applyBorder="1" applyAlignment="1">
      <alignment horizontal="center"/>
    </xf>
    <xf numFmtId="164" fontId="2" fillId="0" borderId="31" xfId="0" applyNumberFormat="1" applyFont="1" applyBorder="1" applyAlignment="1">
      <alignment horizontal="center"/>
    </xf>
    <xf numFmtId="164" fontId="10" fillId="0" borderId="32" xfId="0" applyNumberFormat="1" applyFont="1" applyBorder="1" applyAlignment="1">
      <alignment horizontal="center"/>
    </xf>
    <xf numFmtId="164" fontId="2" fillId="0" borderId="32" xfId="0" applyNumberFormat="1" applyFont="1" applyBorder="1" applyAlignment="1">
      <alignment horizontal="center"/>
    </xf>
    <xf numFmtId="164" fontId="2" fillId="0" borderId="33" xfId="0" applyNumberFormat="1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1" fontId="2" fillId="0" borderId="37" xfId="0" applyNumberFormat="1" applyFont="1" applyBorder="1" applyAlignment="1">
      <alignment horizontal="center"/>
    </xf>
    <xf numFmtId="164" fontId="2" fillId="0" borderId="40" xfId="0" applyNumberFormat="1" applyFont="1" applyBorder="1" applyAlignment="1">
      <alignment horizontal="center"/>
    </xf>
    <xf numFmtId="164" fontId="10" fillId="0" borderId="38" xfId="0" applyNumberFormat="1" applyFont="1" applyBorder="1" applyAlignment="1">
      <alignment horizontal="center"/>
    </xf>
    <xf numFmtId="164" fontId="2" fillId="0" borderId="41" xfId="0" applyNumberFormat="1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1" fontId="2" fillId="0" borderId="38" xfId="0" applyNumberFormat="1" applyFont="1" applyBorder="1" applyAlignment="1">
      <alignment horizontal="center"/>
    </xf>
    <xf numFmtId="1" fontId="2" fillId="0" borderId="41" xfId="0" applyNumberFormat="1" applyFont="1" applyBorder="1" applyAlignment="1">
      <alignment horizontal="center"/>
    </xf>
    <xf numFmtId="164" fontId="2" fillId="0" borderId="38" xfId="0" applyNumberFormat="1" applyFont="1" applyBorder="1" applyAlignment="1">
      <alignment horizontal="center"/>
    </xf>
    <xf numFmtId="164" fontId="10" fillId="0" borderId="41" xfId="0" applyNumberFormat="1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1" fontId="2" fillId="0" borderId="61" xfId="0" applyNumberFormat="1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1" fontId="2" fillId="0" borderId="32" xfId="0" applyNumberFormat="1" applyFont="1" applyBorder="1" applyAlignment="1">
      <alignment horizontal="center"/>
    </xf>
    <xf numFmtId="1" fontId="2" fillId="0" borderId="33" xfId="0" applyNumberFormat="1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1" fontId="2" fillId="0" borderId="47" xfId="0" applyNumberFormat="1" applyFont="1" applyBorder="1" applyAlignment="1">
      <alignment horizontal="center"/>
    </xf>
    <xf numFmtId="1" fontId="2" fillId="0" borderId="48" xfId="0" applyNumberFormat="1" applyFont="1" applyBorder="1" applyAlignment="1">
      <alignment horizontal="center"/>
    </xf>
    <xf numFmtId="1" fontId="2" fillId="0" borderId="40" xfId="0" applyNumberFormat="1" applyFont="1" applyBorder="1" applyAlignment="1">
      <alignment horizontal="center"/>
    </xf>
    <xf numFmtId="0" fontId="7" fillId="0" borderId="10" xfId="0" applyFont="1" applyBorder="1"/>
    <xf numFmtId="164" fontId="10" fillId="0" borderId="36" xfId="0" applyNumberFormat="1" applyFont="1" applyBorder="1"/>
    <xf numFmtId="0" fontId="2" fillId="0" borderId="35" xfId="0" applyFont="1" applyBorder="1"/>
    <xf numFmtId="0" fontId="7" fillId="0" borderId="57" xfId="0" applyFont="1" applyBorder="1"/>
    <xf numFmtId="0" fontId="2" fillId="0" borderId="46" xfId="0" applyFont="1" applyBorder="1"/>
    <xf numFmtId="0" fontId="16" fillId="2" borderId="50" xfId="0" applyFont="1" applyFill="1" applyBorder="1"/>
    <xf numFmtId="0" fontId="2" fillId="0" borderId="31" xfId="0" applyFont="1" applyBorder="1"/>
    <xf numFmtId="2" fontId="2" fillId="0" borderId="64" xfId="0" applyNumberFormat="1" applyFont="1" applyBorder="1" applyAlignment="1">
      <alignment horizontal="center"/>
    </xf>
    <xf numFmtId="164" fontId="10" fillId="0" borderId="48" xfId="0" applyNumberFormat="1" applyFont="1" applyBorder="1"/>
    <xf numFmtId="2" fontId="2" fillId="0" borderId="20" xfId="0" applyNumberFormat="1" applyFont="1" applyBorder="1" applyAlignment="1">
      <alignment horizontal="center"/>
    </xf>
    <xf numFmtId="0" fontId="16" fillId="2" borderId="49" xfId="0" applyFont="1" applyFill="1" applyBorder="1"/>
    <xf numFmtId="0" fontId="7" fillId="3" borderId="49" xfId="0" applyFont="1" applyFill="1" applyBorder="1"/>
    <xf numFmtId="0" fontId="7" fillId="3" borderId="22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50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72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7E2A-93B2-4291-AF9B-36E2DAE4BCDF}">
  <dimension ref="A1:M539"/>
  <sheetViews>
    <sheetView topLeftCell="A491" zoomScale="63" workbookViewId="0">
      <selection activeCell="G504" sqref="G504"/>
    </sheetView>
  </sheetViews>
  <sheetFormatPr defaultColWidth="10.90625" defaultRowHeight="14.5" x14ac:dyDescent="0.35"/>
  <cols>
    <col min="1" max="1" width="8.26953125" customWidth="1"/>
    <col min="2" max="3" width="7.7265625" customWidth="1"/>
    <col min="4" max="4" width="8" customWidth="1"/>
    <col min="5" max="5" width="7.81640625" customWidth="1"/>
    <col min="6" max="9" width="7.7265625" customWidth="1"/>
    <col min="10" max="10" width="10.7265625" customWidth="1"/>
    <col min="11" max="13" width="7.7265625" customWidth="1"/>
  </cols>
  <sheetData>
    <row r="1" spans="1:13" s="4" customFormat="1" ht="16" thickBot="1" x14ac:dyDescent="0.4">
      <c r="A1" s="1" t="s">
        <v>0</v>
      </c>
      <c r="B1" s="2"/>
      <c r="C1" s="2"/>
      <c r="D1" s="2"/>
      <c r="E1" s="2"/>
      <c r="F1" s="3"/>
      <c r="I1" s="4" t="s">
        <v>1</v>
      </c>
    </row>
    <row r="2" spans="1:13" s="4" customFormat="1" ht="15.5" x14ac:dyDescent="0.35">
      <c r="A2" s="5" t="s">
        <v>2</v>
      </c>
      <c r="B2" s="6"/>
      <c r="C2" s="6"/>
      <c r="D2" s="6"/>
      <c r="E2" s="6"/>
      <c r="F2" s="7"/>
      <c r="I2" s="1" t="s">
        <v>3</v>
      </c>
      <c r="J2" s="2"/>
      <c r="K2" s="2"/>
      <c r="L2" s="2"/>
      <c r="M2" s="8"/>
    </row>
    <row r="3" spans="1:13" s="4" customFormat="1" ht="15.5" x14ac:dyDescent="0.35">
      <c r="A3" s="5" t="s">
        <v>4</v>
      </c>
      <c r="B3" s="6"/>
      <c r="C3" s="6"/>
      <c r="D3" s="6"/>
      <c r="E3" s="6"/>
      <c r="F3" s="7"/>
      <c r="I3" s="5" t="s">
        <v>5</v>
      </c>
      <c r="J3" s="6"/>
      <c r="K3" s="6"/>
      <c r="L3" s="9"/>
      <c r="M3" s="10"/>
    </row>
    <row r="4" spans="1:13" s="4" customFormat="1" ht="16" thickBot="1" x14ac:dyDescent="0.4">
      <c r="A4" s="11" t="s">
        <v>6</v>
      </c>
      <c r="B4" s="12"/>
      <c r="C4" s="12"/>
      <c r="D4" s="12"/>
      <c r="E4" s="12"/>
      <c r="F4" s="13"/>
      <c r="I4" s="11" t="s">
        <v>7</v>
      </c>
      <c r="J4" s="12"/>
      <c r="K4" s="12"/>
      <c r="L4" s="14" t="s">
        <v>8</v>
      </c>
      <c r="M4" s="15"/>
    </row>
    <row r="5" spans="1:13" s="4" customFormat="1" ht="26" thickBot="1" x14ac:dyDescent="0.65">
      <c r="A5" s="16" t="s">
        <v>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s="4" customFormat="1" ht="15.75" customHeight="1" x14ac:dyDescent="0.35">
      <c r="A6" s="909" t="s">
        <v>10</v>
      </c>
      <c r="B6" s="912" t="s">
        <v>11</v>
      </c>
      <c r="C6" s="913"/>
      <c r="D6" s="913"/>
      <c r="E6" s="914"/>
      <c r="F6" s="18" t="s">
        <v>12</v>
      </c>
      <c r="G6" s="912" t="s">
        <v>13</v>
      </c>
      <c r="H6" s="913"/>
      <c r="I6" s="914"/>
      <c r="J6" s="19" t="s">
        <v>14</v>
      </c>
      <c r="K6" s="912" t="s">
        <v>15</v>
      </c>
      <c r="L6" s="914"/>
      <c r="M6" s="20" t="s">
        <v>16</v>
      </c>
    </row>
    <row r="7" spans="1:13" s="4" customFormat="1" ht="15.75" customHeight="1" thickBot="1" x14ac:dyDescent="0.4">
      <c r="A7" s="910"/>
      <c r="B7" s="21" t="s">
        <v>17</v>
      </c>
      <c r="C7" s="22" t="s">
        <v>18</v>
      </c>
      <c r="D7" s="22" t="s">
        <v>19</v>
      </c>
      <c r="E7" s="23" t="s">
        <v>18</v>
      </c>
      <c r="F7" s="24" t="s">
        <v>20</v>
      </c>
      <c r="G7" s="24" t="s">
        <v>21</v>
      </c>
      <c r="H7" s="25"/>
      <c r="I7" s="26"/>
      <c r="J7" s="26" t="s">
        <v>22</v>
      </c>
      <c r="K7" s="24" t="s">
        <v>23</v>
      </c>
      <c r="L7" s="26"/>
      <c r="M7" s="27" t="s">
        <v>24</v>
      </c>
    </row>
    <row r="8" spans="1:13" s="4" customFormat="1" ht="15.75" customHeight="1" thickBot="1" x14ac:dyDescent="0.4">
      <c r="A8" s="911"/>
      <c r="B8" s="28" t="s">
        <v>25</v>
      </c>
      <c r="C8" s="29" t="s">
        <v>25</v>
      </c>
      <c r="D8" s="29"/>
      <c r="E8" s="30" t="s">
        <v>26</v>
      </c>
      <c r="F8" s="31" t="s">
        <v>27</v>
      </c>
      <c r="G8" s="32" t="s">
        <v>28</v>
      </c>
      <c r="H8" s="33" t="s">
        <v>29</v>
      </c>
      <c r="I8" s="34" t="s">
        <v>30</v>
      </c>
      <c r="J8" s="35" t="s">
        <v>31</v>
      </c>
      <c r="K8" s="36" t="s">
        <v>32</v>
      </c>
      <c r="L8" s="30" t="s">
        <v>33</v>
      </c>
      <c r="M8" s="37" t="s">
        <v>34</v>
      </c>
    </row>
    <row r="9" spans="1:13" s="4" customFormat="1" ht="15.75" customHeight="1" x14ac:dyDescent="0.35">
      <c r="A9" s="38">
        <v>1</v>
      </c>
      <c r="B9" s="39">
        <v>20</v>
      </c>
      <c r="C9" s="40">
        <v>5</v>
      </c>
      <c r="D9" s="41">
        <f>(B9+C9)/2</f>
        <v>12.5</v>
      </c>
      <c r="E9" s="42">
        <v>3.2</v>
      </c>
      <c r="F9" s="43"/>
      <c r="G9" s="44">
        <v>88</v>
      </c>
      <c r="H9" s="45">
        <v>69</v>
      </c>
      <c r="I9" s="46">
        <v>87</v>
      </c>
      <c r="J9" s="47">
        <v>1.18</v>
      </c>
      <c r="K9" s="42">
        <v>1.5</v>
      </c>
      <c r="L9" s="48">
        <v>2.5</v>
      </c>
      <c r="M9" s="49">
        <v>0.7</v>
      </c>
    </row>
    <row r="10" spans="1:13" s="4" customFormat="1" ht="15.75" customHeight="1" x14ac:dyDescent="0.35">
      <c r="A10" s="50">
        <v>2</v>
      </c>
      <c r="B10" s="51">
        <v>20.399999999999999</v>
      </c>
      <c r="C10" s="52">
        <v>5.6</v>
      </c>
      <c r="D10" s="41">
        <f t="shared" ref="D10:D18" si="0">(B10+C10)/2</f>
        <v>13</v>
      </c>
      <c r="E10" s="53">
        <v>3.6</v>
      </c>
      <c r="F10" s="54"/>
      <c r="G10" s="55">
        <v>87</v>
      </c>
      <c r="H10" s="56">
        <v>60</v>
      </c>
      <c r="I10" s="57">
        <v>84</v>
      </c>
      <c r="J10" s="58">
        <v>1.49</v>
      </c>
      <c r="K10" s="53">
        <v>1.9</v>
      </c>
      <c r="L10" s="59">
        <v>3</v>
      </c>
      <c r="M10" s="49">
        <v>5.7</v>
      </c>
    </row>
    <row r="11" spans="1:13" s="4" customFormat="1" ht="15.75" customHeight="1" x14ac:dyDescent="0.35">
      <c r="A11" s="50">
        <v>3</v>
      </c>
      <c r="B11" s="51">
        <v>20.2</v>
      </c>
      <c r="C11" s="60">
        <v>8</v>
      </c>
      <c r="D11" s="41">
        <f t="shared" si="0"/>
        <v>14.1</v>
      </c>
      <c r="E11" s="53">
        <v>5.2</v>
      </c>
      <c r="F11" s="54"/>
      <c r="G11" s="55">
        <v>90</v>
      </c>
      <c r="H11" s="56">
        <v>50</v>
      </c>
      <c r="I11" s="57">
        <v>86</v>
      </c>
      <c r="J11" s="58">
        <v>1.0900000000000001</v>
      </c>
      <c r="K11" s="53">
        <v>1.4</v>
      </c>
      <c r="L11" s="59">
        <v>2.5</v>
      </c>
      <c r="M11" s="49">
        <v>6.3</v>
      </c>
    </row>
    <row r="12" spans="1:13" s="4" customFormat="1" ht="15.75" customHeight="1" x14ac:dyDescent="0.35">
      <c r="A12" s="50">
        <v>4</v>
      </c>
      <c r="B12" s="51">
        <v>20.399999999999999</v>
      </c>
      <c r="C12" s="60">
        <v>8.4</v>
      </c>
      <c r="D12" s="41">
        <f t="shared" si="0"/>
        <v>14.399999999999999</v>
      </c>
      <c r="E12" s="61">
        <v>5.6</v>
      </c>
      <c r="F12" s="54">
        <v>10</v>
      </c>
      <c r="G12" s="55">
        <v>91</v>
      </c>
      <c r="H12" s="56">
        <v>60</v>
      </c>
      <c r="I12" s="57">
        <v>88</v>
      </c>
      <c r="J12" s="58">
        <v>1.75</v>
      </c>
      <c r="K12" s="53">
        <v>2.2000000000000002</v>
      </c>
      <c r="L12" s="59">
        <v>3.5</v>
      </c>
      <c r="M12" s="49">
        <v>5.6</v>
      </c>
    </row>
    <row r="13" spans="1:13" s="4" customFormat="1" ht="15.75" customHeight="1" x14ac:dyDescent="0.35">
      <c r="A13" s="50">
        <v>5</v>
      </c>
      <c r="B13" s="51">
        <v>19</v>
      </c>
      <c r="C13" s="52">
        <v>8.6</v>
      </c>
      <c r="D13" s="41">
        <f t="shared" si="0"/>
        <v>13.8</v>
      </c>
      <c r="E13" s="61">
        <v>6</v>
      </c>
      <c r="F13" s="54">
        <v>6</v>
      </c>
      <c r="G13" s="55">
        <v>94</v>
      </c>
      <c r="H13" s="56">
        <v>50</v>
      </c>
      <c r="I13" s="57">
        <v>89</v>
      </c>
      <c r="J13" s="58">
        <v>3.42</v>
      </c>
      <c r="K13" s="53">
        <v>4.7</v>
      </c>
      <c r="L13" s="59">
        <v>8</v>
      </c>
      <c r="M13" s="49">
        <v>0.7</v>
      </c>
    </row>
    <row r="14" spans="1:13" s="4" customFormat="1" ht="15.75" customHeight="1" x14ac:dyDescent="0.35">
      <c r="A14" s="50">
        <v>6</v>
      </c>
      <c r="B14" s="51">
        <v>19.2</v>
      </c>
      <c r="C14" s="52">
        <v>9</v>
      </c>
      <c r="D14" s="41">
        <f t="shared" si="0"/>
        <v>14.1</v>
      </c>
      <c r="E14" s="61">
        <v>6.8</v>
      </c>
      <c r="F14" s="54"/>
      <c r="G14" s="55">
        <v>88</v>
      </c>
      <c r="H14" s="56">
        <v>58</v>
      </c>
      <c r="I14" s="62">
        <v>86</v>
      </c>
      <c r="J14" s="58">
        <v>1.68</v>
      </c>
      <c r="K14" s="53">
        <v>2.2999999999999998</v>
      </c>
      <c r="L14" s="59">
        <v>4</v>
      </c>
      <c r="M14" s="49">
        <v>5.3</v>
      </c>
    </row>
    <row r="15" spans="1:13" s="4" customFormat="1" ht="15.75" customHeight="1" x14ac:dyDescent="0.35">
      <c r="A15" s="50">
        <v>7</v>
      </c>
      <c r="B15" s="51">
        <v>17</v>
      </c>
      <c r="C15" s="52">
        <v>4</v>
      </c>
      <c r="D15" s="41">
        <f t="shared" si="0"/>
        <v>10.5</v>
      </c>
      <c r="E15" s="61">
        <v>1.8</v>
      </c>
      <c r="F15" s="54"/>
      <c r="G15" s="55">
        <v>87</v>
      </c>
      <c r="H15" s="56">
        <v>58</v>
      </c>
      <c r="I15" s="62">
        <v>85</v>
      </c>
      <c r="J15" s="58">
        <v>1.1299999999999999</v>
      </c>
      <c r="K15" s="53">
        <v>1.7</v>
      </c>
      <c r="L15" s="59">
        <v>3</v>
      </c>
      <c r="M15" s="49">
        <v>7.2</v>
      </c>
    </row>
    <row r="16" spans="1:13" s="4" customFormat="1" ht="15.75" customHeight="1" x14ac:dyDescent="0.35">
      <c r="A16" s="50">
        <v>8</v>
      </c>
      <c r="B16" s="51">
        <v>15.2</v>
      </c>
      <c r="C16" s="52">
        <v>0.4</v>
      </c>
      <c r="D16" s="41">
        <f t="shared" si="0"/>
        <v>7.8</v>
      </c>
      <c r="E16" s="61">
        <v>0</v>
      </c>
      <c r="F16" s="54"/>
      <c r="G16" s="55">
        <v>90</v>
      </c>
      <c r="H16" s="56">
        <v>60</v>
      </c>
      <c r="I16" s="62">
        <v>88</v>
      </c>
      <c r="J16" s="58">
        <v>0.89</v>
      </c>
      <c r="K16" s="53">
        <v>1.5</v>
      </c>
      <c r="L16" s="59">
        <v>2.5</v>
      </c>
      <c r="M16" s="49">
        <v>7.7</v>
      </c>
    </row>
    <row r="17" spans="1:13" s="4" customFormat="1" ht="15.75" customHeight="1" x14ac:dyDescent="0.35">
      <c r="A17" s="50">
        <v>9</v>
      </c>
      <c r="B17" s="51">
        <v>18</v>
      </c>
      <c r="C17" s="52">
        <v>3</v>
      </c>
      <c r="D17" s="41">
        <f t="shared" si="0"/>
        <v>10.5</v>
      </c>
      <c r="E17" s="61">
        <v>1.4</v>
      </c>
      <c r="F17" s="54">
        <v>2</v>
      </c>
      <c r="G17" s="55">
        <v>87</v>
      </c>
      <c r="H17" s="56">
        <v>66</v>
      </c>
      <c r="I17" s="62">
        <v>84</v>
      </c>
      <c r="J17" s="58">
        <v>1.27</v>
      </c>
      <c r="K17" s="53">
        <v>1.8</v>
      </c>
      <c r="L17" s="59">
        <v>3</v>
      </c>
      <c r="M17" s="49">
        <v>3.9</v>
      </c>
    </row>
    <row r="18" spans="1:13" s="4" customFormat="1" ht="15.75" customHeight="1" thickBot="1" x14ac:dyDescent="0.4">
      <c r="A18" s="63">
        <v>10</v>
      </c>
      <c r="B18" s="51">
        <v>18.399999999999999</v>
      </c>
      <c r="C18" s="60">
        <v>4</v>
      </c>
      <c r="D18" s="41">
        <f t="shared" si="0"/>
        <v>11.2</v>
      </c>
      <c r="E18" s="53">
        <v>1.8</v>
      </c>
      <c r="F18" s="64"/>
      <c r="G18" s="65">
        <v>90</v>
      </c>
      <c r="H18" s="66">
        <v>70</v>
      </c>
      <c r="I18" s="67">
        <v>88</v>
      </c>
      <c r="J18" s="58">
        <v>0.91</v>
      </c>
      <c r="K18" s="53">
        <v>1.3</v>
      </c>
      <c r="L18" s="59">
        <v>2</v>
      </c>
      <c r="M18" s="49">
        <v>9.3000000000000007</v>
      </c>
    </row>
    <row r="19" spans="1:13" s="4" customFormat="1" ht="15.75" customHeight="1" thickBot="1" x14ac:dyDescent="0.4">
      <c r="A19" s="68" t="s">
        <v>35</v>
      </c>
      <c r="B19" s="69">
        <f t="shared" ref="B19:M19" si="1">SUM(B9:B18)</f>
        <v>187.79999999999998</v>
      </c>
      <c r="C19" s="70">
        <f t="shared" si="1"/>
        <v>56</v>
      </c>
      <c r="D19" s="70">
        <f t="shared" si="1"/>
        <v>121.89999999999999</v>
      </c>
      <c r="E19" s="71">
        <f t="shared" si="1"/>
        <v>35.4</v>
      </c>
      <c r="F19" s="69">
        <f t="shared" si="1"/>
        <v>18</v>
      </c>
      <c r="G19" s="72">
        <f t="shared" si="1"/>
        <v>892</v>
      </c>
      <c r="H19" s="73">
        <f t="shared" si="1"/>
        <v>601</v>
      </c>
      <c r="I19" s="74">
        <f t="shared" si="1"/>
        <v>865</v>
      </c>
      <c r="J19" s="75">
        <f t="shared" si="1"/>
        <v>14.809999999999999</v>
      </c>
      <c r="K19" s="76">
        <f t="shared" si="1"/>
        <v>20.3</v>
      </c>
      <c r="L19" s="76">
        <f t="shared" si="1"/>
        <v>34</v>
      </c>
      <c r="M19" s="77">
        <f t="shared" si="1"/>
        <v>52.399999999999991</v>
      </c>
    </row>
    <row r="20" spans="1:13" s="4" customFormat="1" ht="15.75" customHeight="1" x14ac:dyDescent="0.35">
      <c r="A20" s="38">
        <v>11</v>
      </c>
      <c r="B20" s="51">
        <v>18.8</v>
      </c>
      <c r="C20" s="60">
        <v>2</v>
      </c>
      <c r="D20" s="41">
        <f t="shared" ref="D20:D29" si="2">(B20+C20)/2</f>
        <v>10.4</v>
      </c>
      <c r="E20" s="53">
        <v>1</v>
      </c>
      <c r="F20" s="78"/>
      <c r="G20" s="79">
        <v>93</v>
      </c>
      <c r="H20" s="80">
        <v>64</v>
      </c>
      <c r="I20" s="81">
        <v>90</v>
      </c>
      <c r="J20" s="58">
        <v>0.99</v>
      </c>
      <c r="K20" s="53">
        <v>1.4</v>
      </c>
      <c r="L20" s="59">
        <v>2</v>
      </c>
      <c r="M20" s="49">
        <v>8.1999999999999993</v>
      </c>
    </row>
    <row r="21" spans="1:13" s="4" customFormat="1" ht="15.75" customHeight="1" x14ac:dyDescent="0.35">
      <c r="A21" s="50">
        <v>12</v>
      </c>
      <c r="B21" s="51">
        <v>17.8</v>
      </c>
      <c r="C21" s="52">
        <v>4</v>
      </c>
      <c r="D21" s="41">
        <f t="shared" si="2"/>
        <v>10.9</v>
      </c>
      <c r="E21" s="61">
        <v>1.6</v>
      </c>
      <c r="F21" s="78"/>
      <c r="G21" s="55">
        <v>88</v>
      </c>
      <c r="H21" s="56">
        <v>74</v>
      </c>
      <c r="I21" s="57">
        <v>84</v>
      </c>
      <c r="J21" s="58">
        <v>0.84</v>
      </c>
      <c r="K21" s="42">
        <v>1.2</v>
      </c>
      <c r="L21" s="59">
        <v>2</v>
      </c>
      <c r="M21" s="49">
        <v>9.1999999999999993</v>
      </c>
    </row>
    <row r="22" spans="1:13" s="4" customFormat="1" ht="15.75" customHeight="1" x14ac:dyDescent="0.35">
      <c r="A22" s="50">
        <v>13</v>
      </c>
      <c r="B22" s="51">
        <v>17.600000000000001</v>
      </c>
      <c r="C22" s="52">
        <v>4.2</v>
      </c>
      <c r="D22" s="41">
        <f t="shared" si="2"/>
        <v>10.9</v>
      </c>
      <c r="E22" s="61">
        <v>1.8</v>
      </c>
      <c r="F22" s="78"/>
      <c r="G22" s="55">
        <v>87</v>
      </c>
      <c r="H22" s="56">
        <v>67</v>
      </c>
      <c r="I22" s="57">
        <v>85</v>
      </c>
      <c r="J22" s="58">
        <v>0.74</v>
      </c>
      <c r="K22" s="42">
        <v>1.1000000000000001</v>
      </c>
      <c r="L22" s="59">
        <v>2</v>
      </c>
      <c r="M22" s="49">
        <v>6.7</v>
      </c>
    </row>
    <row r="23" spans="1:13" s="4" customFormat="1" ht="15.75" customHeight="1" x14ac:dyDescent="0.35">
      <c r="A23" s="50">
        <v>14</v>
      </c>
      <c r="B23" s="51">
        <v>18</v>
      </c>
      <c r="C23" s="52">
        <v>4</v>
      </c>
      <c r="D23" s="41">
        <f t="shared" si="2"/>
        <v>11</v>
      </c>
      <c r="E23" s="61">
        <v>1.4</v>
      </c>
      <c r="F23" s="78"/>
      <c r="G23" s="55">
        <v>90</v>
      </c>
      <c r="H23" s="56">
        <v>70</v>
      </c>
      <c r="I23" s="57">
        <v>88</v>
      </c>
      <c r="J23" s="58">
        <v>1.83</v>
      </c>
      <c r="K23" s="42">
        <v>2.6</v>
      </c>
      <c r="L23" s="59">
        <v>4.5</v>
      </c>
      <c r="M23" s="49">
        <v>10.1</v>
      </c>
    </row>
    <row r="24" spans="1:13" s="4" customFormat="1" ht="15.75" customHeight="1" x14ac:dyDescent="0.35">
      <c r="A24" s="50">
        <v>15</v>
      </c>
      <c r="B24" s="51">
        <v>23.4</v>
      </c>
      <c r="C24" s="52">
        <v>5.4</v>
      </c>
      <c r="D24" s="41">
        <f t="shared" si="2"/>
        <v>14.399999999999999</v>
      </c>
      <c r="E24" s="61">
        <v>3.6</v>
      </c>
      <c r="F24" s="78"/>
      <c r="G24" s="55">
        <v>88</v>
      </c>
      <c r="H24" s="56">
        <v>72</v>
      </c>
      <c r="I24" s="57">
        <v>86</v>
      </c>
      <c r="J24" s="58">
        <v>1.93</v>
      </c>
      <c r="K24" s="42">
        <v>2.1</v>
      </c>
      <c r="L24" s="59">
        <v>3.5</v>
      </c>
      <c r="M24" s="49">
        <v>6.2</v>
      </c>
    </row>
    <row r="25" spans="1:13" s="4" customFormat="1" ht="15.75" customHeight="1" x14ac:dyDescent="0.35">
      <c r="A25" s="50">
        <v>16</v>
      </c>
      <c r="B25" s="51">
        <v>19.8</v>
      </c>
      <c r="C25" s="52">
        <v>7</v>
      </c>
      <c r="D25" s="41">
        <f t="shared" si="2"/>
        <v>13.4</v>
      </c>
      <c r="E25" s="61">
        <v>5</v>
      </c>
      <c r="F25" s="78"/>
      <c r="G25" s="55">
        <v>89</v>
      </c>
      <c r="H25" s="56">
        <v>74</v>
      </c>
      <c r="I25" s="57">
        <v>85</v>
      </c>
      <c r="J25" s="58">
        <v>2.12</v>
      </c>
      <c r="K25" s="42">
        <v>2.8</v>
      </c>
      <c r="L25" s="59">
        <v>4.5</v>
      </c>
      <c r="M25" s="49">
        <v>1.2</v>
      </c>
    </row>
    <row r="26" spans="1:13" s="4" customFormat="1" ht="15.75" customHeight="1" x14ac:dyDescent="0.35">
      <c r="A26" s="82">
        <v>17</v>
      </c>
      <c r="B26" s="51">
        <v>22</v>
      </c>
      <c r="C26" s="60">
        <v>7.6</v>
      </c>
      <c r="D26" s="41">
        <f t="shared" si="2"/>
        <v>14.8</v>
      </c>
      <c r="E26" s="61">
        <v>5.4</v>
      </c>
      <c r="F26" s="78"/>
      <c r="G26" s="55">
        <v>91</v>
      </c>
      <c r="H26" s="56">
        <v>72</v>
      </c>
      <c r="I26" s="57">
        <v>88</v>
      </c>
      <c r="J26" s="58">
        <v>2.67</v>
      </c>
      <c r="K26" s="42">
        <v>3.2</v>
      </c>
      <c r="L26" s="59">
        <v>5</v>
      </c>
      <c r="M26" s="49">
        <v>9.4</v>
      </c>
    </row>
    <row r="27" spans="1:13" s="4" customFormat="1" ht="15.75" customHeight="1" x14ac:dyDescent="0.35">
      <c r="A27" s="82">
        <v>18</v>
      </c>
      <c r="B27" s="51">
        <v>21.6</v>
      </c>
      <c r="C27" s="60">
        <v>10</v>
      </c>
      <c r="D27" s="41">
        <f t="shared" si="2"/>
        <v>15.8</v>
      </c>
      <c r="E27" s="53">
        <v>7.8</v>
      </c>
      <c r="F27" s="78"/>
      <c r="G27" s="55">
        <v>88</v>
      </c>
      <c r="H27" s="56">
        <v>75</v>
      </c>
      <c r="I27" s="57">
        <v>84</v>
      </c>
      <c r="J27" s="58">
        <v>1.06</v>
      </c>
      <c r="K27" s="42">
        <v>1.3</v>
      </c>
      <c r="L27" s="59">
        <v>2</v>
      </c>
      <c r="M27" s="49">
        <v>4.2</v>
      </c>
    </row>
    <row r="28" spans="1:13" s="4" customFormat="1" ht="15.75" customHeight="1" x14ac:dyDescent="0.35">
      <c r="A28" s="82">
        <v>19</v>
      </c>
      <c r="B28" s="51">
        <v>18.399999999999999</v>
      </c>
      <c r="C28" s="60">
        <v>10.199999999999999</v>
      </c>
      <c r="D28" s="41">
        <f t="shared" si="2"/>
        <v>14.299999999999999</v>
      </c>
      <c r="E28" s="61">
        <v>8.1999999999999993</v>
      </c>
      <c r="F28" s="78"/>
      <c r="G28" s="55">
        <v>89</v>
      </c>
      <c r="H28" s="56">
        <v>60</v>
      </c>
      <c r="I28" s="57">
        <v>86</v>
      </c>
      <c r="J28" s="58">
        <v>3.63</v>
      </c>
      <c r="K28" s="42">
        <v>5.0999999999999996</v>
      </c>
      <c r="L28" s="59">
        <v>8.5</v>
      </c>
      <c r="M28" s="49">
        <v>0.3</v>
      </c>
    </row>
    <row r="29" spans="1:13" s="4" customFormat="1" ht="15.75" customHeight="1" thickBot="1" x14ac:dyDescent="0.4">
      <c r="A29" s="83">
        <v>20</v>
      </c>
      <c r="B29" s="51">
        <v>16</v>
      </c>
      <c r="C29" s="60">
        <v>8</v>
      </c>
      <c r="D29" s="41">
        <f t="shared" si="2"/>
        <v>12</v>
      </c>
      <c r="E29" s="61">
        <v>6.8</v>
      </c>
      <c r="F29" s="84"/>
      <c r="G29" s="65">
        <v>88</v>
      </c>
      <c r="H29" s="66">
        <v>68</v>
      </c>
      <c r="I29" s="67">
        <v>85</v>
      </c>
      <c r="J29" s="58">
        <v>1.28</v>
      </c>
      <c r="K29" s="42">
        <v>2.1</v>
      </c>
      <c r="L29" s="59">
        <v>3.5</v>
      </c>
      <c r="M29" s="49">
        <v>8.4</v>
      </c>
    </row>
    <row r="30" spans="1:13" s="4" customFormat="1" ht="15.75" customHeight="1" thickBot="1" x14ac:dyDescent="0.4">
      <c r="A30" s="85" t="s">
        <v>35</v>
      </c>
      <c r="B30" s="86">
        <f>SUM(B20:B29)</f>
        <v>193.39999999999998</v>
      </c>
      <c r="C30" s="70">
        <f>SUM(C20:C29)</f>
        <v>62.400000000000006</v>
      </c>
      <c r="D30" s="70">
        <f>SUM(D20:D29)</f>
        <v>127.89999999999999</v>
      </c>
      <c r="E30" s="87">
        <f>SUM(E20:E29)</f>
        <v>42.599999999999994</v>
      </c>
      <c r="F30" s="88">
        <f>SUM(F20:F29)</f>
        <v>0</v>
      </c>
      <c r="G30" s="72">
        <f t="shared" ref="G30:M30" si="3">SUM(G20:G29)</f>
        <v>891</v>
      </c>
      <c r="H30" s="73">
        <f t="shared" si="3"/>
        <v>696</v>
      </c>
      <c r="I30" s="74">
        <f t="shared" si="3"/>
        <v>861</v>
      </c>
      <c r="J30" s="89">
        <f t="shared" si="3"/>
        <v>17.09</v>
      </c>
      <c r="K30" s="86">
        <f t="shared" si="3"/>
        <v>22.9</v>
      </c>
      <c r="L30" s="87">
        <f t="shared" si="3"/>
        <v>37.5</v>
      </c>
      <c r="M30" s="90">
        <f t="shared" si="3"/>
        <v>63.9</v>
      </c>
    </row>
    <row r="31" spans="1:13" s="4" customFormat="1" ht="15.75" customHeight="1" x14ac:dyDescent="0.35">
      <c r="A31" s="91">
        <v>21</v>
      </c>
      <c r="B31" s="51">
        <v>15.8</v>
      </c>
      <c r="C31" s="60">
        <v>2</v>
      </c>
      <c r="D31" s="41">
        <f t="shared" ref="D31:D41" si="4">(B31+C31)/2</f>
        <v>8.9</v>
      </c>
      <c r="E31" s="61">
        <v>0.8</v>
      </c>
      <c r="F31" s="78"/>
      <c r="G31" s="44">
        <v>89</v>
      </c>
      <c r="H31" s="45">
        <v>73</v>
      </c>
      <c r="I31" s="46">
        <v>86</v>
      </c>
      <c r="J31" s="58">
        <v>1.31</v>
      </c>
      <c r="K31" s="42">
        <v>2.2000000000000002</v>
      </c>
      <c r="L31" s="59">
        <v>3.5</v>
      </c>
      <c r="M31" s="49">
        <v>9.4</v>
      </c>
    </row>
    <row r="32" spans="1:13" s="4" customFormat="1" ht="15.75" customHeight="1" x14ac:dyDescent="0.35">
      <c r="A32" s="82">
        <v>22</v>
      </c>
      <c r="B32" s="51">
        <v>20.399999999999999</v>
      </c>
      <c r="C32" s="60">
        <v>3</v>
      </c>
      <c r="D32" s="41">
        <f t="shared" si="4"/>
        <v>11.7</v>
      </c>
      <c r="E32" s="53">
        <v>1.4</v>
      </c>
      <c r="F32" s="92"/>
      <c r="G32" s="55">
        <v>91</v>
      </c>
      <c r="H32" s="56">
        <v>74</v>
      </c>
      <c r="I32" s="62">
        <v>87</v>
      </c>
      <c r="J32" s="58">
        <v>0.88</v>
      </c>
      <c r="K32" s="42">
        <v>1.1000000000000001</v>
      </c>
      <c r="L32" s="59">
        <v>2</v>
      </c>
      <c r="M32" s="49">
        <v>9.9</v>
      </c>
    </row>
    <row r="33" spans="1:13" s="4" customFormat="1" ht="15.75" customHeight="1" x14ac:dyDescent="0.35">
      <c r="A33" s="82">
        <v>23</v>
      </c>
      <c r="B33" s="51">
        <v>20.8</v>
      </c>
      <c r="C33" s="60">
        <v>3.6</v>
      </c>
      <c r="D33" s="41">
        <f t="shared" si="4"/>
        <v>12.200000000000001</v>
      </c>
      <c r="E33" s="61">
        <v>2</v>
      </c>
      <c r="F33" s="92"/>
      <c r="G33" s="55">
        <v>89</v>
      </c>
      <c r="H33" s="56">
        <v>76</v>
      </c>
      <c r="I33" s="62">
        <v>86</v>
      </c>
      <c r="J33" s="58">
        <v>0.86</v>
      </c>
      <c r="K33" s="42">
        <v>1.1000000000000001</v>
      </c>
      <c r="L33" s="59">
        <v>9.6999999999999993</v>
      </c>
      <c r="M33" s="49">
        <v>9.8000000000000007</v>
      </c>
    </row>
    <row r="34" spans="1:13" s="4" customFormat="1" ht="15.75" customHeight="1" x14ac:dyDescent="0.35">
      <c r="A34" s="82">
        <v>24</v>
      </c>
      <c r="B34" s="51">
        <v>21.4</v>
      </c>
      <c r="C34" s="60">
        <v>4</v>
      </c>
      <c r="D34" s="41">
        <f t="shared" si="4"/>
        <v>12.7</v>
      </c>
      <c r="E34" s="61">
        <v>2.6</v>
      </c>
      <c r="F34" s="92"/>
      <c r="G34" s="55">
        <v>89</v>
      </c>
      <c r="H34" s="56">
        <v>70</v>
      </c>
      <c r="I34" s="62">
        <v>86</v>
      </c>
      <c r="J34" s="58">
        <v>0.94</v>
      </c>
      <c r="K34" s="42">
        <v>1.1000000000000001</v>
      </c>
      <c r="L34" s="59">
        <v>10</v>
      </c>
      <c r="M34" s="49">
        <v>9.6999999999999993</v>
      </c>
    </row>
    <row r="35" spans="1:13" s="4" customFormat="1" ht="15.75" customHeight="1" x14ac:dyDescent="0.35">
      <c r="A35" s="82">
        <v>25</v>
      </c>
      <c r="B35" s="51">
        <v>22</v>
      </c>
      <c r="C35" s="60">
        <v>4</v>
      </c>
      <c r="D35" s="41">
        <f t="shared" si="4"/>
        <v>13</v>
      </c>
      <c r="E35" s="53">
        <v>2.4</v>
      </c>
      <c r="F35" s="92"/>
      <c r="G35" s="55">
        <v>89</v>
      </c>
      <c r="H35" s="56">
        <v>75</v>
      </c>
      <c r="I35" s="62">
        <v>86</v>
      </c>
      <c r="J35" s="58">
        <v>0.84</v>
      </c>
      <c r="K35" s="42">
        <v>1</v>
      </c>
      <c r="L35" s="59">
        <v>1.5</v>
      </c>
      <c r="M35" s="49">
        <v>10</v>
      </c>
    </row>
    <row r="36" spans="1:13" s="4" customFormat="1" ht="15.75" customHeight="1" x14ac:dyDescent="0.35">
      <c r="A36" s="82">
        <v>26</v>
      </c>
      <c r="B36" s="51">
        <v>23.6</v>
      </c>
      <c r="C36" s="60">
        <v>4.4000000000000004</v>
      </c>
      <c r="D36" s="41">
        <f t="shared" si="4"/>
        <v>14</v>
      </c>
      <c r="E36" s="53">
        <v>2.8</v>
      </c>
      <c r="F36" s="43"/>
      <c r="G36" s="93">
        <v>88</v>
      </c>
      <c r="H36" s="56">
        <v>72</v>
      </c>
      <c r="I36" s="57">
        <v>85</v>
      </c>
      <c r="J36" s="58">
        <v>1.06</v>
      </c>
      <c r="K36" s="42">
        <v>1.2</v>
      </c>
      <c r="L36" s="59">
        <v>2</v>
      </c>
      <c r="M36" s="49">
        <v>10.1</v>
      </c>
    </row>
    <row r="37" spans="1:13" s="4" customFormat="1" ht="15.75" customHeight="1" x14ac:dyDescent="0.35">
      <c r="A37" s="82">
        <v>27</v>
      </c>
      <c r="B37" s="51">
        <v>17</v>
      </c>
      <c r="C37" s="60">
        <v>5</v>
      </c>
      <c r="D37" s="41">
        <f t="shared" si="4"/>
        <v>11</v>
      </c>
      <c r="E37" s="53">
        <v>3.6</v>
      </c>
      <c r="F37" s="43"/>
      <c r="G37" s="93">
        <v>86</v>
      </c>
      <c r="H37" s="56">
        <v>70</v>
      </c>
      <c r="I37" s="57">
        <v>84</v>
      </c>
      <c r="J37" s="58">
        <v>1</v>
      </c>
      <c r="K37" s="42">
        <v>1.5</v>
      </c>
      <c r="L37" s="59">
        <v>2.5</v>
      </c>
      <c r="M37" s="49">
        <v>6.1</v>
      </c>
    </row>
    <row r="38" spans="1:13" s="4" customFormat="1" ht="15.75" customHeight="1" x14ac:dyDescent="0.35">
      <c r="A38" s="82">
        <v>28</v>
      </c>
      <c r="B38" s="51">
        <v>22</v>
      </c>
      <c r="C38" s="60">
        <v>4.4000000000000004</v>
      </c>
      <c r="D38" s="41">
        <f t="shared" si="4"/>
        <v>13.2</v>
      </c>
      <c r="E38" s="53">
        <v>2.4</v>
      </c>
      <c r="F38" s="43"/>
      <c r="G38" s="93">
        <v>91</v>
      </c>
      <c r="H38" s="56">
        <v>68</v>
      </c>
      <c r="I38" s="57">
        <v>87</v>
      </c>
      <c r="J38" s="58">
        <v>0.9</v>
      </c>
      <c r="K38" s="42">
        <v>1.1000000000000001</v>
      </c>
      <c r="L38" s="59">
        <v>2</v>
      </c>
      <c r="M38" s="49">
        <v>4</v>
      </c>
    </row>
    <row r="39" spans="1:13" s="4" customFormat="1" ht="15.75" customHeight="1" x14ac:dyDescent="0.35">
      <c r="A39" s="82">
        <v>29</v>
      </c>
      <c r="B39" s="51">
        <v>17.2</v>
      </c>
      <c r="C39" s="60">
        <v>7</v>
      </c>
      <c r="D39" s="41">
        <f t="shared" si="4"/>
        <v>12.1</v>
      </c>
      <c r="E39" s="53">
        <v>5.4</v>
      </c>
      <c r="F39" s="43"/>
      <c r="G39" s="93">
        <v>89</v>
      </c>
      <c r="H39" s="56">
        <v>68</v>
      </c>
      <c r="I39" s="57">
        <v>86</v>
      </c>
      <c r="J39" s="58">
        <v>0.78</v>
      </c>
      <c r="K39" s="42">
        <v>1.2</v>
      </c>
      <c r="L39" s="59">
        <v>2</v>
      </c>
      <c r="M39" s="49">
        <v>3.5</v>
      </c>
    </row>
    <row r="40" spans="1:13" s="4" customFormat="1" ht="15.75" customHeight="1" x14ac:dyDescent="0.35">
      <c r="A40" s="82">
        <v>30</v>
      </c>
      <c r="B40" s="51">
        <v>18</v>
      </c>
      <c r="C40" s="60">
        <v>7</v>
      </c>
      <c r="D40" s="41">
        <f t="shared" si="4"/>
        <v>12.5</v>
      </c>
      <c r="E40" s="53">
        <v>5.6</v>
      </c>
      <c r="F40" s="43"/>
      <c r="G40" s="93">
        <v>88</v>
      </c>
      <c r="H40" s="56">
        <v>71</v>
      </c>
      <c r="I40" s="57">
        <v>84</v>
      </c>
      <c r="J40" s="58">
        <v>1.1499999999999999</v>
      </c>
      <c r="K40" s="42">
        <v>1.7</v>
      </c>
      <c r="L40" s="59">
        <v>3</v>
      </c>
      <c r="M40" s="49">
        <v>5.2</v>
      </c>
    </row>
    <row r="41" spans="1:13" s="4" customFormat="1" ht="15.75" customHeight="1" thickBot="1" x14ac:dyDescent="0.4">
      <c r="A41" s="83">
        <v>31</v>
      </c>
      <c r="B41" s="94">
        <v>17.2</v>
      </c>
      <c r="C41" s="95">
        <v>9</v>
      </c>
      <c r="D41" s="41">
        <f t="shared" si="4"/>
        <v>13.1</v>
      </c>
      <c r="E41" s="96">
        <v>7.2</v>
      </c>
      <c r="F41" s="97"/>
      <c r="G41" s="98">
        <v>91</v>
      </c>
      <c r="H41" s="99">
        <v>77</v>
      </c>
      <c r="I41" s="100">
        <v>88</v>
      </c>
      <c r="J41" s="101">
        <v>1.39</v>
      </c>
      <c r="K41" s="60">
        <v>2.1</v>
      </c>
      <c r="L41" s="59">
        <v>3.5</v>
      </c>
      <c r="M41" s="49">
        <v>5</v>
      </c>
    </row>
    <row r="42" spans="1:13" s="4" customFormat="1" ht="15.75" customHeight="1" thickBot="1" x14ac:dyDescent="0.4">
      <c r="A42" s="85" t="s">
        <v>35</v>
      </c>
      <c r="B42" s="86">
        <f t="shared" ref="B42:M42" si="5">SUM(B31:B41)</f>
        <v>215.39999999999998</v>
      </c>
      <c r="C42" s="70">
        <f t="shared" si="5"/>
        <v>53.4</v>
      </c>
      <c r="D42" s="70">
        <f t="shared" si="5"/>
        <v>134.4</v>
      </c>
      <c r="E42" s="87">
        <f t="shared" si="5"/>
        <v>36.200000000000003</v>
      </c>
      <c r="F42" s="88">
        <f t="shared" si="5"/>
        <v>0</v>
      </c>
      <c r="G42" s="102">
        <f t="shared" si="5"/>
        <v>980</v>
      </c>
      <c r="H42" s="102">
        <f t="shared" si="5"/>
        <v>794</v>
      </c>
      <c r="I42" s="103">
        <f t="shared" si="5"/>
        <v>945</v>
      </c>
      <c r="J42" s="75">
        <f t="shared" si="5"/>
        <v>11.110000000000001</v>
      </c>
      <c r="K42" s="76">
        <f t="shared" si="5"/>
        <v>15.299999999999997</v>
      </c>
      <c r="L42" s="76">
        <f t="shared" si="5"/>
        <v>41.7</v>
      </c>
      <c r="M42" s="104">
        <f t="shared" si="5"/>
        <v>82.7</v>
      </c>
    </row>
    <row r="43" spans="1:13" s="4" customFormat="1" ht="15.75" customHeight="1" thickBot="1" x14ac:dyDescent="0.4">
      <c r="A43" s="105" t="s">
        <v>36</v>
      </c>
      <c r="B43" s="106">
        <f>B42+B30+B19</f>
        <v>596.59999999999991</v>
      </c>
      <c r="C43" s="107">
        <f t="shared" ref="C43:M43" si="6">C42+C30+C19</f>
        <v>171.8</v>
      </c>
      <c r="D43" s="107">
        <f t="shared" si="6"/>
        <v>384.2</v>
      </c>
      <c r="E43" s="108">
        <f t="shared" si="6"/>
        <v>114.19999999999999</v>
      </c>
      <c r="F43" s="109">
        <f t="shared" si="6"/>
        <v>18</v>
      </c>
      <c r="G43" s="110">
        <f t="shared" si="6"/>
        <v>2763</v>
      </c>
      <c r="H43" s="110">
        <f t="shared" si="6"/>
        <v>2091</v>
      </c>
      <c r="I43" s="111">
        <f t="shared" si="6"/>
        <v>2671</v>
      </c>
      <c r="J43" s="112">
        <f t="shared" si="6"/>
        <v>43.010000000000005</v>
      </c>
      <c r="K43" s="113">
        <f t="shared" si="6"/>
        <v>58.5</v>
      </c>
      <c r="L43" s="113">
        <f t="shared" si="6"/>
        <v>113.2</v>
      </c>
      <c r="M43" s="111">
        <f t="shared" si="6"/>
        <v>199</v>
      </c>
    </row>
    <row r="44" spans="1:13" s="4" customFormat="1" ht="15.75" customHeight="1" thickBot="1" x14ac:dyDescent="0.4">
      <c r="A44" s="114" t="s">
        <v>19</v>
      </c>
      <c r="B44" s="115">
        <f>B43/31</f>
        <v>19.245161290322578</v>
      </c>
      <c r="C44" s="116">
        <f t="shared" ref="C44:J44" si="7">C43/31</f>
        <v>5.5419354838709678</v>
      </c>
      <c r="D44" s="116">
        <f t="shared" si="7"/>
        <v>12.393548387096773</v>
      </c>
      <c r="E44" s="117">
        <f t="shared" si="7"/>
        <v>3.6838709677419352</v>
      </c>
      <c r="F44" s="118" t="s">
        <v>37</v>
      </c>
      <c r="G44" s="119">
        <f t="shared" si="7"/>
        <v>89.129032258064512</v>
      </c>
      <c r="H44" s="119">
        <f t="shared" si="7"/>
        <v>67.451612903225808</v>
      </c>
      <c r="I44" s="119">
        <f t="shared" si="7"/>
        <v>86.161290322580641</v>
      </c>
      <c r="J44" s="120">
        <f t="shared" si="7"/>
        <v>1.3874193548387099</v>
      </c>
      <c r="K44" s="121"/>
      <c r="L44" s="122"/>
      <c r="M44" s="123"/>
    </row>
    <row r="45" spans="1:13" ht="16" thickBot="1" x14ac:dyDescent="0.4">
      <c r="A45" s="6"/>
      <c r="B45" s="124"/>
      <c r="C45" s="124"/>
      <c r="D45" s="124"/>
      <c r="E45" s="124"/>
      <c r="F45" s="125"/>
      <c r="G45" s="4"/>
      <c r="H45" s="126"/>
      <c r="I45" s="126"/>
      <c r="J45" s="127"/>
      <c r="K45" s="125"/>
      <c r="L45" s="125"/>
      <c r="M45" s="125"/>
    </row>
    <row r="46" spans="1:13" ht="16" thickBot="1" x14ac:dyDescent="0.4">
      <c r="A46" s="1" t="s">
        <v>0</v>
      </c>
      <c r="B46" s="2"/>
      <c r="C46" s="2"/>
      <c r="D46" s="2"/>
      <c r="E46" s="2"/>
      <c r="F46" s="3"/>
      <c r="G46" s="4"/>
      <c r="H46" s="126"/>
      <c r="I46" s="126"/>
      <c r="J46" s="127"/>
      <c r="K46" s="125"/>
      <c r="L46" s="125"/>
      <c r="M46" s="125"/>
    </row>
    <row r="47" spans="1:13" ht="15.5" x14ac:dyDescent="0.35">
      <c r="A47" s="5" t="s">
        <v>2</v>
      </c>
      <c r="B47" s="6"/>
      <c r="C47" s="6"/>
      <c r="D47" s="6"/>
      <c r="E47" s="6"/>
      <c r="F47" s="7"/>
      <c r="G47" s="4"/>
      <c r="H47" s="4"/>
      <c r="I47" s="1" t="s">
        <v>3</v>
      </c>
      <c r="J47" s="2"/>
      <c r="K47" s="2"/>
      <c r="L47" s="2"/>
      <c r="M47" s="8"/>
    </row>
    <row r="48" spans="1:13" ht="15.5" x14ac:dyDescent="0.35">
      <c r="A48" s="5" t="s">
        <v>4</v>
      </c>
      <c r="B48" s="6"/>
      <c r="C48" s="6"/>
      <c r="D48" s="6"/>
      <c r="E48" s="6"/>
      <c r="F48" s="7"/>
      <c r="G48" s="4"/>
      <c r="H48" s="4"/>
      <c r="I48" s="5" t="s">
        <v>5</v>
      </c>
      <c r="J48" s="6"/>
      <c r="K48" s="6"/>
      <c r="L48" s="9"/>
      <c r="M48" s="10"/>
    </row>
    <row r="49" spans="1:13" ht="16" thickBot="1" x14ac:dyDescent="0.4">
      <c r="A49" s="11" t="s">
        <v>6</v>
      </c>
      <c r="B49" s="12"/>
      <c r="C49" s="12"/>
      <c r="D49" s="12"/>
      <c r="E49" s="12"/>
      <c r="F49" s="13"/>
      <c r="G49" s="4"/>
      <c r="H49" s="4"/>
      <c r="I49" s="11" t="s">
        <v>7</v>
      </c>
      <c r="J49" s="12"/>
      <c r="K49" s="12"/>
      <c r="L49" s="14" t="s">
        <v>38</v>
      </c>
      <c r="M49" s="15"/>
    </row>
    <row r="50" spans="1:13" ht="26" thickBot="1" x14ac:dyDescent="0.65">
      <c r="A50" s="17" t="s">
        <v>39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x14ac:dyDescent="0.35">
      <c r="A51" s="915" t="s">
        <v>10</v>
      </c>
      <c r="B51" s="918" t="s">
        <v>11</v>
      </c>
      <c r="C51" s="919"/>
      <c r="D51" s="919"/>
      <c r="E51" s="920"/>
      <c r="F51" s="130" t="s">
        <v>12</v>
      </c>
      <c r="G51" s="918" t="s">
        <v>13</v>
      </c>
      <c r="H51" s="919"/>
      <c r="I51" s="920"/>
      <c r="J51" s="130" t="s">
        <v>14</v>
      </c>
      <c r="K51" s="918" t="s">
        <v>15</v>
      </c>
      <c r="L51" s="920"/>
      <c r="M51" s="132" t="s">
        <v>16</v>
      </c>
    </row>
    <row r="52" spans="1:13" ht="15" thickBot="1" x14ac:dyDescent="0.4">
      <c r="A52" s="916"/>
      <c r="B52" s="134" t="s">
        <v>17</v>
      </c>
      <c r="C52" s="135" t="s">
        <v>18</v>
      </c>
      <c r="D52" s="135" t="s">
        <v>19</v>
      </c>
      <c r="E52" s="136" t="s">
        <v>18</v>
      </c>
      <c r="F52" s="137" t="s">
        <v>20</v>
      </c>
      <c r="G52" s="138" t="s">
        <v>21</v>
      </c>
      <c r="H52" s="137"/>
      <c r="I52" s="139"/>
      <c r="J52" s="137" t="s">
        <v>22</v>
      </c>
      <c r="K52" s="138" t="s">
        <v>23</v>
      </c>
      <c r="L52" s="139"/>
      <c r="M52" s="140" t="s">
        <v>24</v>
      </c>
    </row>
    <row r="53" spans="1:13" ht="15" thickBot="1" x14ac:dyDescent="0.4">
      <c r="A53" s="917"/>
      <c r="B53" s="142" t="s">
        <v>25</v>
      </c>
      <c r="C53" s="143" t="s">
        <v>25</v>
      </c>
      <c r="D53" s="143"/>
      <c r="E53" s="144" t="s">
        <v>26</v>
      </c>
      <c r="F53" s="145" t="s">
        <v>27</v>
      </c>
      <c r="G53" s="146" t="s">
        <v>28</v>
      </c>
      <c r="H53" s="147" t="s">
        <v>29</v>
      </c>
      <c r="I53" s="148" t="s">
        <v>30</v>
      </c>
      <c r="J53" s="149" t="s">
        <v>31</v>
      </c>
      <c r="K53" s="146" t="s">
        <v>32</v>
      </c>
      <c r="L53" s="148" t="s">
        <v>33</v>
      </c>
      <c r="M53" s="150" t="s">
        <v>34</v>
      </c>
    </row>
    <row r="54" spans="1:13" x14ac:dyDescent="0.35">
      <c r="A54" s="91">
        <v>1</v>
      </c>
      <c r="B54" s="39">
        <v>16.8</v>
      </c>
      <c r="C54" s="40">
        <v>9.4</v>
      </c>
      <c r="D54" s="41">
        <f>(B54+C54)/2</f>
        <v>13.100000000000001</v>
      </c>
      <c r="E54" s="42">
        <v>6.2</v>
      </c>
      <c r="F54" s="151"/>
      <c r="G54" s="44">
        <v>90</v>
      </c>
      <c r="H54" s="45">
        <v>74</v>
      </c>
      <c r="I54" s="152">
        <v>86</v>
      </c>
      <c r="J54" s="153">
        <v>1.35</v>
      </c>
      <c r="K54" s="42">
        <v>2.1</v>
      </c>
      <c r="L54" s="48">
        <v>3.5</v>
      </c>
      <c r="M54" s="154">
        <v>6.5</v>
      </c>
    </row>
    <row r="55" spans="1:13" x14ac:dyDescent="0.35">
      <c r="A55" s="82">
        <v>2</v>
      </c>
      <c r="B55" s="51">
        <v>17.600000000000001</v>
      </c>
      <c r="C55" s="52">
        <v>9</v>
      </c>
      <c r="D55" s="41">
        <f t="shared" ref="D55:D63" si="8">(B55+C55)/2</f>
        <v>13.3</v>
      </c>
      <c r="E55" s="53">
        <v>6</v>
      </c>
      <c r="F55" s="155"/>
      <c r="G55" s="55">
        <v>90</v>
      </c>
      <c r="H55" s="56">
        <v>77</v>
      </c>
      <c r="I55" s="62">
        <v>86</v>
      </c>
      <c r="J55" s="156">
        <v>1.1499999999999999</v>
      </c>
      <c r="K55" s="53">
        <v>1.7</v>
      </c>
      <c r="L55" s="59">
        <v>3</v>
      </c>
      <c r="M55" s="157">
        <v>7</v>
      </c>
    </row>
    <row r="56" spans="1:13" x14ac:dyDescent="0.35">
      <c r="A56" s="82">
        <v>3</v>
      </c>
      <c r="B56" s="51">
        <v>16.600000000000001</v>
      </c>
      <c r="C56" s="60">
        <v>5</v>
      </c>
      <c r="D56" s="41">
        <f t="shared" si="8"/>
        <v>10.8</v>
      </c>
      <c r="E56" s="53">
        <v>3.6</v>
      </c>
      <c r="F56" s="155"/>
      <c r="G56" s="55">
        <v>90</v>
      </c>
      <c r="H56" s="56">
        <v>80</v>
      </c>
      <c r="I56" s="62">
        <v>87</v>
      </c>
      <c r="J56" s="156">
        <v>1.1299999999999999</v>
      </c>
      <c r="K56" s="53">
        <v>1.8</v>
      </c>
      <c r="L56" s="59">
        <v>3</v>
      </c>
      <c r="M56" s="157">
        <v>8.5</v>
      </c>
    </row>
    <row r="57" spans="1:13" x14ac:dyDescent="0.35">
      <c r="A57" s="82">
        <v>4</v>
      </c>
      <c r="B57" s="51">
        <v>17</v>
      </c>
      <c r="C57" s="60">
        <v>4</v>
      </c>
      <c r="D57" s="41">
        <f>(B57+C57)/2</f>
        <v>10.5</v>
      </c>
      <c r="E57" s="61">
        <v>2</v>
      </c>
      <c r="F57" s="155"/>
      <c r="G57" s="79">
        <v>90</v>
      </c>
      <c r="H57" s="80">
        <v>74</v>
      </c>
      <c r="I57" s="158">
        <v>88</v>
      </c>
      <c r="J57" s="156">
        <v>0.94</v>
      </c>
      <c r="K57" s="53">
        <v>1.4</v>
      </c>
      <c r="L57" s="59">
        <v>2.5</v>
      </c>
      <c r="M57" s="157">
        <v>9.6</v>
      </c>
    </row>
    <row r="58" spans="1:13" x14ac:dyDescent="0.35">
      <c r="A58" s="82">
        <v>5</v>
      </c>
      <c r="B58" s="51">
        <v>17.2</v>
      </c>
      <c r="C58" s="52">
        <v>4.4000000000000004</v>
      </c>
      <c r="D58" s="41">
        <f t="shared" si="8"/>
        <v>10.8</v>
      </c>
      <c r="E58" s="61">
        <v>3</v>
      </c>
      <c r="F58" s="155"/>
      <c r="G58" s="55">
        <v>90</v>
      </c>
      <c r="H58" s="56">
        <v>74</v>
      </c>
      <c r="I58" s="62">
        <v>88</v>
      </c>
      <c r="J58" s="156">
        <v>1</v>
      </c>
      <c r="K58" s="53">
        <v>1.5</v>
      </c>
      <c r="L58" s="59">
        <v>2.5</v>
      </c>
      <c r="M58" s="157">
        <v>6.9</v>
      </c>
    </row>
    <row r="59" spans="1:13" x14ac:dyDescent="0.35">
      <c r="A59" s="82">
        <v>6</v>
      </c>
      <c r="B59" s="51">
        <v>22.6</v>
      </c>
      <c r="C59" s="52">
        <v>4</v>
      </c>
      <c r="D59" s="41">
        <f t="shared" si="8"/>
        <v>13.3</v>
      </c>
      <c r="E59" s="61">
        <v>3</v>
      </c>
      <c r="F59" s="155"/>
      <c r="G59" s="79">
        <v>94</v>
      </c>
      <c r="H59" s="56">
        <v>52</v>
      </c>
      <c r="I59" s="62">
        <v>86</v>
      </c>
      <c r="J59" s="156">
        <v>1.61</v>
      </c>
      <c r="K59" s="53">
        <v>1.9</v>
      </c>
      <c r="L59" s="59">
        <v>3</v>
      </c>
      <c r="M59" s="157">
        <v>9.6999999999999993</v>
      </c>
    </row>
    <row r="60" spans="1:13" x14ac:dyDescent="0.35">
      <c r="A60" s="82">
        <v>7</v>
      </c>
      <c r="B60" s="51">
        <v>20.399999999999999</v>
      </c>
      <c r="C60" s="52">
        <v>4.2</v>
      </c>
      <c r="D60" s="41">
        <f t="shared" si="8"/>
        <v>12.299999999999999</v>
      </c>
      <c r="E60" s="61">
        <v>2</v>
      </c>
      <c r="F60" s="155"/>
      <c r="G60" s="55">
        <v>84</v>
      </c>
      <c r="H60" s="56">
        <v>50</v>
      </c>
      <c r="I60" s="62">
        <v>80</v>
      </c>
      <c r="J60" s="156">
        <v>1.71</v>
      </c>
      <c r="K60" s="53">
        <v>2.2000000000000002</v>
      </c>
      <c r="L60" s="59">
        <v>3.5</v>
      </c>
      <c r="M60" s="157">
        <v>10</v>
      </c>
    </row>
    <row r="61" spans="1:13" x14ac:dyDescent="0.35">
      <c r="A61" s="82">
        <v>8</v>
      </c>
      <c r="B61" s="51">
        <v>19.399999999999999</v>
      </c>
      <c r="C61" s="52">
        <v>7</v>
      </c>
      <c r="D61" s="41">
        <f t="shared" si="8"/>
        <v>13.2</v>
      </c>
      <c r="E61" s="61">
        <v>5.4</v>
      </c>
      <c r="F61" s="155">
        <v>0.5</v>
      </c>
      <c r="G61" s="79">
        <v>87</v>
      </c>
      <c r="H61" s="56">
        <v>70</v>
      </c>
      <c r="I61" s="62">
        <v>86</v>
      </c>
      <c r="J61" s="156">
        <v>2.89</v>
      </c>
      <c r="K61" s="53">
        <v>3.9</v>
      </c>
      <c r="L61" s="59">
        <v>6</v>
      </c>
      <c r="M61" s="157">
        <v>7.5</v>
      </c>
    </row>
    <row r="62" spans="1:13" x14ac:dyDescent="0.35">
      <c r="A62" s="82">
        <v>9</v>
      </c>
      <c r="B62" s="51">
        <v>15.6</v>
      </c>
      <c r="C62" s="52">
        <v>10</v>
      </c>
      <c r="D62" s="41">
        <f t="shared" si="8"/>
        <v>12.8</v>
      </c>
      <c r="E62" s="61">
        <v>7.2</v>
      </c>
      <c r="F62" s="155">
        <v>11.3</v>
      </c>
      <c r="G62" s="55">
        <v>95</v>
      </c>
      <c r="H62" s="56">
        <v>86</v>
      </c>
      <c r="I62" s="62">
        <v>92</v>
      </c>
      <c r="J62" s="156">
        <v>4.54</v>
      </c>
      <c r="K62" s="53">
        <v>5.6</v>
      </c>
      <c r="L62" s="59">
        <v>12</v>
      </c>
      <c r="M62" s="157">
        <v>0</v>
      </c>
    </row>
    <row r="63" spans="1:13" ht="15" thickBot="1" x14ac:dyDescent="0.4">
      <c r="A63" s="83">
        <v>10</v>
      </c>
      <c r="B63" s="51">
        <v>17.600000000000001</v>
      </c>
      <c r="C63" s="60">
        <v>11</v>
      </c>
      <c r="D63" s="41">
        <f t="shared" si="8"/>
        <v>14.3</v>
      </c>
      <c r="E63" s="53">
        <v>9.6</v>
      </c>
      <c r="F63" s="155">
        <v>2.5</v>
      </c>
      <c r="G63" s="55">
        <v>92</v>
      </c>
      <c r="H63" s="56">
        <v>69</v>
      </c>
      <c r="I63" s="62">
        <v>88</v>
      </c>
      <c r="J63" s="156">
        <v>2.0299999999999998</v>
      </c>
      <c r="K63" s="53">
        <v>3</v>
      </c>
      <c r="L63" s="59">
        <v>5</v>
      </c>
      <c r="M63" s="157">
        <v>2.7</v>
      </c>
    </row>
    <row r="64" spans="1:13" ht="15" thickBot="1" x14ac:dyDescent="0.4">
      <c r="A64" s="85" t="s">
        <v>35</v>
      </c>
      <c r="B64" s="71">
        <f t="shared" ref="B64:M64" si="9">SUM(B54:B63)</f>
        <v>180.8</v>
      </c>
      <c r="C64" s="71">
        <f t="shared" si="9"/>
        <v>68</v>
      </c>
      <c r="D64" s="71">
        <f t="shared" si="9"/>
        <v>124.39999999999999</v>
      </c>
      <c r="E64" s="71">
        <f t="shared" si="9"/>
        <v>48</v>
      </c>
      <c r="F64" s="88">
        <f t="shared" si="9"/>
        <v>14.3</v>
      </c>
      <c r="G64" s="69">
        <f t="shared" si="9"/>
        <v>902</v>
      </c>
      <c r="H64" s="70">
        <f t="shared" si="9"/>
        <v>706</v>
      </c>
      <c r="I64" s="71">
        <f t="shared" si="9"/>
        <v>867</v>
      </c>
      <c r="J64" s="159">
        <f t="shared" si="9"/>
        <v>18.350000000000001</v>
      </c>
      <c r="K64" s="71">
        <f t="shared" si="9"/>
        <v>25.1</v>
      </c>
      <c r="L64" s="71">
        <f t="shared" si="9"/>
        <v>44</v>
      </c>
      <c r="M64" s="77">
        <f t="shared" si="9"/>
        <v>68.400000000000006</v>
      </c>
    </row>
    <row r="65" spans="1:13" x14ac:dyDescent="0.35">
      <c r="A65" s="91">
        <v>11</v>
      </c>
      <c r="B65" s="51">
        <v>17.600000000000001</v>
      </c>
      <c r="C65" s="60">
        <v>10.4</v>
      </c>
      <c r="D65" s="41">
        <f t="shared" ref="D65:D74" si="10">(B65+C65)/2</f>
        <v>14</v>
      </c>
      <c r="E65" s="53">
        <v>8</v>
      </c>
      <c r="F65" s="155"/>
      <c r="G65" s="55">
        <v>91</v>
      </c>
      <c r="H65" s="56">
        <v>79</v>
      </c>
      <c r="I65" s="62">
        <v>88</v>
      </c>
      <c r="J65" s="156">
        <v>1.28</v>
      </c>
      <c r="K65" s="53">
        <v>1.9</v>
      </c>
      <c r="L65" s="59">
        <v>3</v>
      </c>
      <c r="M65" s="157">
        <v>4.2</v>
      </c>
    </row>
    <row r="66" spans="1:13" x14ac:dyDescent="0.35">
      <c r="A66" s="82">
        <v>12</v>
      </c>
      <c r="B66" s="51">
        <v>25</v>
      </c>
      <c r="C66" s="52">
        <v>11.2</v>
      </c>
      <c r="D66" s="41">
        <f t="shared" si="10"/>
        <v>18.100000000000001</v>
      </c>
      <c r="E66" s="61">
        <v>8.8000000000000007</v>
      </c>
      <c r="F66" s="155"/>
      <c r="G66" s="79">
        <v>93</v>
      </c>
      <c r="H66" s="56">
        <v>70</v>
      </c>
      <c r="I66" s="62">
        <v>90</v>
      </c>
      <c r="J66" s="156">
        <v>2.1800000000000002</v>
      </c>
      <c r="K66" s="42">
        <v>2.2999999999999998</v>
      </c>
      <c r="L66" s="59">
        <v>4</v>
      </c>
      <c r="M66" s="157">
        <v>8.6999999999999993</v>
      </c>
    </row>
    <row r="67" spans="1:13" x14ac:dyDescent="0.35">
      <c r="A67" s="82">
        <v>13</v>
      </c>
      <c r="B67" s="51">
        <v>21</v>
      </c>
      <c r="C67" s="52">
        <v>11</v>
      </c>
      <c r="D67" s="41">
        <f t="shared" si="10"/>
        <v>16</v>
      </c>
      <c r="E67" s="61">
        <v>8.4</v>
      </c>
      <c r="F67" s="155"/>
      <c r="G67" s="55">
        <v>91</v>
      </c>
      <c r="H67" s="56">
        <v>48</v>
      </c>
      <c r="I67" s="62">
        <v>82</v>
      </c>
      <c r="J67" s="156">
        <v>0.89</v>
      </c>
      <c r="K67" s="42">
        <v>1.1000000000000001</v>
      </c>
      <c r="L67" s="59">
        <v>2</v>
      </c>
      <c r="M67" s="157">
        <v>10.199999999999999</v>
      </c>
    </row>
    <row r="68" spans="1:13" x14ac:dyDescent="0.35">
      <c r="A68" s="82">
        <v>14</v>
      </c>
      <c r="B68" s="51">
        <v>21.2</v>
      </c>
      <c r="C68" s="52">
        <v>11.6</v>
      </c>
      <c r="D68" s="41">
        <f t="shared" si="10"/>
        <v>16.399999999999999</v>
      </c>
      <c r="E68" s="61">
        <v>8.6</v>
      </c>
      <c r="F68" s="155"/>
      <c r="G68" s="55">
        <v>86</v>
      </c>
      <c r="H68" s="56">
        <v>52</v>
      </c>
      <c r="I68" s="62">
        <v>84</v>
      </c>
      <c r="J68" s="156">
        <v>1.67</v>
      </c>
      <c r="K68" s="42">
        <v>2</v>
      </c>
      <c r="L68" s="59">
        <v>3.5</v>
      </c>
      <c r="M68" s="157">
        <v>3.1</v>
      </c>
    </row>
    <row r="69" spans="1:13" x14ac:dyDescent="0.35">
      <c r="A69" s="82">
        <v>15</v>
      </c>
      <c r="B69" s="60">
        <v>20.6</v>
      </c>
      <c r="C69" s="160">
        <v>9.8000000000000007</v>
      </c>
      <c r="D69" s="41">
        <f t="shared" si="10"/>
        <v>15.200000000000001</v>
      </c>
      <c r="E69" s="61">
        <v>8.1999999999999993</v>
      </c>
      <c r="F69" s="155"/>
      <c r="G69" s="79">
        <v>91</v>
      </c>
      <c r="H69" s="56">
        <v>75</v>
      </c>
      <c r="I69" s="62">
        <v>85</v>
      </c>
      <c r="J69" s="156">
        <v>1.36</v>
      </c>
      <c r="K69" s="42">
        <v>1.7</v>
      </c>
      <c r="L69" s="59">
        <v>3</v>
      </c>
      <c r="M69" s="157">
        <v>3.6</v>
      </c>
    </row>
    <row r="70" spans="1:13" x14ac:dyDescent="0.35">
      <c r="A70" s="82">
        <v>16</v>
      </c>
      <c r="B70" s="60">
        <v>17.2</v>
      </c>
      <c r="C70" s="52">
        <v>10.8</v>
      </c>
      <c r="D70" s="41">
        <f t="shared" si="10"/>
        <v>14</v>
      </c>
      <c r="E70" s="61">
        <v>9.1999999999999993</v>
      </c>
      <c r="F70" s="155"/>
      <c r="G70" s="79">
        <v>94</v>
      </c>
      <c r="H70" s="56">
        <v>85</v>
      </c>
      <c r="I70" s="62">
        <v>90</v>
      </c>
      <c r="J70" s="156">
        <v>1.41</v>
      </c>
      <c r="K70" s="42">
        <v>2.1</v>
      </c>
      <c r="L70" s="59">
        <v>3.5</v>
      </c>
      <c r="M70" s="157">
        <v>4.2</v>
      </c>
    </row>
    <row r="71" spans="1:13" x14ac:dyDescent="0.35">
      <c r="A71" s="82">
        <v>17</v>
      </c>
      <c r="B71" s="51">
        <v>18.399999999999999</v>
      </c>
      <c r="C71" s="60">
        <v>8</v>
      </c>
      <c r="D71" s="41">
        <f t="shared" si="10"/>
        <v>13.2</v>
      </c>
      <c r="E71" s="61">
        <v>5.4</v>
      </c>
      <c r="F71" s="155">
        <v>0.5</v>
      </c>
      <c r="G71" s="79">
        <v>87</v>
      </c>
      <c r="H71" s="56">
        <v>70</v>
      </c>
      <c r="I71" s="62">
        <v>84</v>
      </c>
      <c r="J71" s="156">
        <v>1.27</v>
      </c>
      <c r="K71" s="42">
        <v>1.8</v>
      </c>
      <c r="L71" s="59">
        <v>3</v>
      </c>
      <c r="M71" s="157">
        <v>10.1</v>
      </c>
    </row>
    <row r="72" spans="1:13" x14ac:dyDescent="0.35">
      <c r="A72" s="82">
        <v>18</v>
      </c>
      <c r="B72" s="51">
        <v>18.2</v>
      </c>
      <c r="C72" s="60">
        <v>7</v>
      </c>
      <c r="D72" s="41">
        <f t="shared" si="10"/>
        <v>12.6</v>
      </c>
      <c r="E72" s="53">
        <v>4.5999999999999996</v>
      </c>
      <c r="F72" s="155"/>
      <c r="G72" s="79">
        <v>91</v>
      </c>
      <c r="H72" s="56">
        <v>75</v>
      </c>
      <c r="I72" s="62">
        <v>88</v>
      </c>
      <c r="J72" s="156">
        <v>0.74</v>
      </c>
      <c r="K72" s="42">
        <v>1.1000000000000001</v>
      </c>
      <c r="L72" s="59">
        <v>2</v>
      </c>
      <c r="M72" s="157">
        <v>3.4</v>
      </c>
    </row>
    <row r="73" spans="1:13" x14ac:dyDescent="0.35">
      <c r="A73" s="82">
        <v>19</v>
      </c>
      <c r="B73" s="51">
        <v>19.2</v>
      </c>
      <c r="C73" s="60">
        <v>6.4</v>
      </c>
      <c r="D73" s="41">
        <f t="shared" si="10"/>
        <v>12.8</v>
      </c>
      <c r="E73" s="61">
        <v>4.4000000000000004</v>
      </c>
      <c r="F73" s="155"/>
      <c r="G73" s="79">
        <v>92</v>
      </c>
      <c r="H73" s="80">
        <v>56</v>
      </c>
      <c r="I73" s="158">
        <v>80</v>
      </c>
      <c r="J73" s="156">
        <v>0.98</v>
      </c>
      <c r="K73" s="42">
        <v>1.3</v>
      </c>
      <c r="L73" s="59">
        <v>2</v>
      </c>
      <c r="M73" s="157">
        <v>10.5</v>
      </c>
    </row>
    <row r="74" spans="1:13" ht="15" thickBot="1" x14ac:dyDescent="0.4">
      <c r="A74" s="83">
        <v>20</v>
      </c>
      <c r="B74" s="51">
        <v>18.399999999999999</v>
      </c>
      <c r="C74" s="60">
        <v>7</v>
      </c>
      <c r="D74" s="41">
        <f t="shared" si="10"/>
        <v>12.7</v>
      </c>
      <c r="E74" s="61">
        <v>4.8</v>
      </c>
      <c r="F74" s="155"/>
      <c r="G74" s="55">
        <v>92</v>
      </c>
      <c r="H74" s="56">
        <v>67</v>
      </c>
      <c r="I74" s="62">
        <v>86</v>
      </c>
      <c r="J74" s="156">
        <v>1.0900000000000001</v>
      </c>
      <c r="K74" s="42">
        <v>1.5</v>
      </c>
      <c r="L74" s="59">
        <v>2.5</v>
      </c>
      <c r="M74" s="157">
        <v>10.4</v>
      </c>
    </row>
    <row r="75" spans="1:13" ht="15" thickBot="1" x14ac:dyDescent="0.4">
      <c r="A75" s="85" t="s">
        <v>35</v>
      </c>
      <c r="B75" s="71">
        <f t="shared" ref="B75:L75" si="11">SUM(B65:B74)</f>
        <v>196.79999999999998</v>
      </c>
      <c r="C75" s="71">
        <f t="shared" si="11"/>
        <v>93.2</v>
      </c>
      <c r="D75" s="71">
        <f t="shared" si="11"/>
        <v>145</v>
      </c>
      <c r="E75" s="71">
        <f t="shared" si="11"/>
        <v>70.400000000000006</v>
      </c>
      <c r="F75" s="88">
        <f t="shared" si="11"/>
        <v>0.5</v>
      </c>
      <c r="G75" s="69">
        <f t="shared" si="11"/>
        <v>908</v>
      </c>
      <c r="H75" s="70">
        <f t="shared" si="11"/>
        <v>677</v>
      </c>
      <c r="I75" s="71">
        <f t="shared" si="11"/>
        <v>857</v>
      </c>
      <c r="J75" s="159">
        <f t="shared" si="11"/>
        <v>12.87</v>
      </c>
      <c r="K75" s="71">
        <f t="shared" si="11"/>
        <v>16.799999999999997</v>
      </c>
      <c r="L75" s="71">
        <f t="shared" si="11"/>
        <v>28.5</v>
      </c>
      <c r="M75" s="90">
        <f t="shared" ref="M75" si="12">SUM(M65:M74)</f>
        <v>68.400000000000006</v>
      </c>
    </row>
    <row r="76" spans="1:13" x14ac:dyDescent="0.35">
      <c r="A76" s="91">
        <v>21</v>
      </c>
      <c r="B76" s="51">
        <v>22.8</v>
      </c>
      <c r="C76" s="60">
        <v>5.4</v>
      </c>
      <c r="D76" s="41">
        <f t="shared" ref="D76:D84" si="13">(B76+C76)/2</f>
        <v>14.100000000000001</v>
      </c>
      <c r="E76" s="61">
        <v>3.8</v>
      </c>
      <c r="F76" s="155"/>
      <c r="G76" s="79">
        <v>94</v>
      </c>
      <c r="H76" s="66">
        <v>59</v>
      </c>
      <c r="I76" s="161">
        <v>87</v>
      </c>
      <c r="J76" s="156">
        <v>1.19</v>
      </c>
      <c r="K76" s="42">
        <v>1.4</v>
      </c>
      <c r="L76" s="59">
        <v>2</v>
      </c>
      <c r="M76" s="157">
        <v>10.6</v>
      </c>
    </row>
    <row r="77" spans="1:13" x14ac:dyDescent="0.35">
      <c r="A77" s="82">
        <v>22</v>
      </c>
      <c r="B77" s="51">
        <v>25.6</v>
      </c>
      <c r="C77" s="60">
        <v>6.6</v>
      </c>
      <c r="D77" s="41">
        <f t="shared" si="13"/>
        <v>16.100000000000001</v>
      </c>
      <c r="E77" s="53">
        <v>4.2</v>
      </c>
      <c r="F77" s="155"/>
      <c r="G77" s="79">
        <v>88</v>
      </c>
      <c r="H77" s="56">
        <v>56</v>
      </c>
      <c r="I77" s="62">
        <v>84</v>
      </c>
      <c r="J77" s="156">
        <v>2.35</v>
      </c>
      <c r="K77" s="42">
        <v>2.4</v>
      </c>
      <c r="L77" s="59">
        <v>4</v>
      </c>
      <c r="M77" s="157">
        <v>8.8000000000000007</v>
      </c>
    </row>
    <row r="78" spans="1:13" x14ac:dyDescent="0.35">
      <c r="A78" s="82">
        <v>23</v>
      </c>
      <c r="B78" s="51">
        <v>23</v>
      </c>
      <c r="C78" s="60">
        <v>10</v>
      </c>
      <c r="D78" s="41">
        <f t="shared" si="13"/>
        <v>16.5</v>
      </c>
      <c r="E78" s="61">
        <v>8.1999999999999993</v>
      </c>
      <c r="F78" s="155">
        <v>4</v>
      </c>
      <c r="G78" s="55">
        <v>83</v>
      </c>
      <c r="H78" s="56">
        <v>62</v>
      </c>
      <c r="I78" s="62">
        <v>81</v>
      </c>
      <c r="J78" s="156">
        <v>3.45</v>
      </c>
      <c r="K78" s="42">
        <v>1.6</v>
      </c>
      <c r="L78" s="59">
        <v>2.5</v>
      </c>
      <c r="M78" s="157">
        <v>4.0999999999999996</v>
      </c>
    </row>
    <row r="79" spans="1:13" x14ac:dyDescent="0.35">
      <c r="A79" s="82">
        <v>24</v>
      </c>
      <c r="B79" s="51">
        <v>22</v>
      </c>
      <c r="C79" s="60">
        <v>9</v>
      </c>
      <c r="D79" s="41">
        <f t="shared" si="13"/>
        <v>15.5</v>
      </c>
      <c r="E79" s="61">
        <v>6.8</v>
      </c>
      <c r="F79" s="155"/>
      <c r="G79" s="55">
        <v>86</v>
      </c>
      <c r="H79" s="56">
        <v>60</v>
      </c>
      <c r="I79" s="62">
        <v>82</v>
      </c>
      <c r="J79" s="156">
        <v>3.25</v>
      </c>
      <c r="K79" s="42">
        <v>3.8</v>
      </c>
      <c r="L79" s="59">
        <v>6</v>
      </c>
      <c r="M79" s="157">
        <v>3.8</v>
      </c>
    </row>
    <row r="80" spans="1:13" x14ac:dyDescent="0.35">
      <c r="A80" s="82">
        <v>25</v>
      </c>
      <c r="B80" s="51">
        <v>21.2</v>
      </c>
      <c r="C80" s="60">
        <v>8.4</v>
      </c>
      <c r="D80" s="41">
        <f t="shared" si="13"/>
        <v>14.8</v>
      </c>
      <c r="E80" s="53">
        <v>6.2</v>
      </c>
      <c r="F80" s="155">
        <v>2.6</v>
      </c>
      <c r="G80" s="55">
        <v>84</v>
      </c>
      <c r="H80" s="56">
        <v>58</v>
      </c>
      <c r="I80" s="62">
        <v>81</v>
      </c>
      <c r="J80" s="156">
        <v>2.11</v>
      </c>
      <c r="K80" s="42">
        <v>2.6</v>
      </c>
      <c r="L80" s="59">
        <v>4</v>
      </c>
      <c r="M80" s="157">
        <v>8.1999999999999993</v>
      </c>
    </row>
    <row r="81" spans="1:13" x14ac:dyDescent="0.35">
      <c r="A81" s="82">
        <v>26</v>
      </c>
      <c r="B81" s="60">
        <v>16</v>
      </c>
      <c r="C81" s="60">
        <v>8</v>
      </c>
      <c r="D81" s="41">
        <f t="shared" si="13"/>
        <v>12</v>
      </c>
      <c r="E81" s="53">
        <v>6</v>
      </c>
      <c r="F81" s="155">
        <v>3.5</v>
      </c>
      <c r="G81" s="79">
        <v>93</v>
      </c>
      <c r="H81" s="56">
        <v>75</v>
      </c>
      <c r="I81" s="62">
        <v>89</v>
      </c>
      <c r="J81" s="156">
        <v>3.78</v>
      </c>
      <c r="K81" s="42">
        <v>6.1</v>
      </c>
      <c r="L81" s="59">
        <v>10</v>
      </c>
      <c r="M81" s="157">
        <v>4.9000000000000004</v>
      </c>
    </row>
    <row r="82" spans="1:13" x14ac:dyDescent="0.35">
      <c r="A82" s="82">
        <v>27</v>
      </c>
      <c r="B82" s="51">
        <v>13.6</v>
      </c>
      <c r="C82" s="60">
        <v>6.8</v>
      </c>
      <c r="D82" s="41">
        <f t="shared" si="13"/>
        <v>10.199999999999999</v>
      </c>
      <c r="E82" s="53">
        <v>4.5999999999999996</v>
      </c>
      <c r="F82" s="155"/>
      <c r="G82" s="55">
        <v>94</v>
      </c>
      <c r="H82" s="56">
        <v>81</v>
      </c>
      <c r="I82" s="62">
        <v>91</v>
      </c>
      <c r="J82" s="156">
        <v>4.2300000000000004</v>
      </c>
      <c r="K82" s="42">
        <v>5.4</v>
      </c>
      <c r="L82" s="59">
        <v>13</v>
      </c>
      <c r="M82" s="157">
        <v>7.8</v>
      </c>
    </row>
    <row r="83" spans="1:13" x14ac:dyDescent="0.35">
      <c r="A83" s="82">
        <v>28</v>
      </c>
      <c r="B83" s="51">
        <v>17.2</v>
      </c>
      <c r="C83" s="60">
        <v>7</v>
      </c>
      <c r="D83" s="41">
        <f t="shared" si="13"/>
        <v>12.1</v>
      </c>
      <c r="E83" s="53">
        <v>4.5999999999999996</v>
      </c>
      <c r="F83" s="162"/>
      <c r="G83" s="79">
        <v>90</v>
      </c>
      <c r="H83" s="56">
        <v>78</v>
      </c>
      <c r="I83" s="62">
        <v>89</v>
      </c>
      <c r="J83" s="156">
        <v>2.56</v>
      </c>
      <c r="K83" s="42">
        <v>3.9</v>
      </c>
      <c r="L83" s="59">
        <v>6</v>
      </c>
      <c r="M83" s="157">
        <v>8.6</v>
      </c>
    </row>
    <row r="84" spans="1:13" x14ac:dyDescent="0.35">
      <c r="A84" s="82">
        <v>29</v>
      </c>
      <c r="B84" s="51">
        <v>17.600000000000001</v>
      </c>
      <c r="C84" s="60">
        <v>6</v>
      </c>
      <c r="D84" s="41">
        <f t="shared" si="13"/>
        <v>11.8</v>
      </c>
      <c r="E84" s="53">
        <v>4</v>
      </c>
      <c r="F84" s="163"/>
      <c r="G84" s="55">
        <v>90</v>
      </c>
      <c r="H84" s="56">
        <v>71</v>
      </c>
      <c r="I84" s="62">
        <v>87</v>
      </c>
      <c r="J84" s="156">
        <v>2.98</v>
      </c>
      <c r="K84" s="42">
        <v>4.4000000000000004</v>
      </c>
      <c r="L84" s="59">
        <v>7</v>
      </c>
      <c r="M84" s="157">
        <v>11</v>
      </c>
    </row>
    <row r="85" spans="1:13" x14ac:dyDescent="0.35">
      <c r="A85" s="82">
        <v>30</v>
      </c>
      <c r="B85" s="164"/>
      <c r="C85" s="165"/>
      <c r="D85" s="166"/>
      <c r="E85" s="167"/>
      <c r="F85" s="163"/>
      <c r="G85" s="168"/>
      <c r="H85" s="169"/>
      <c r="I85" s="170"/>
      <c r="J85" s="171"/>
      <c r="K85" s="172"/>
      <c r="L85" s="162"/>
      <c r="M85" s="157"/>
    </row>
    <row r="86" spans="1:13" ht="15" thickBot="1" x14ac:dyDescent="0.4">
      <c r="A86" s="83">
        <v>31</v>
      </c>
      <c r="B86" s="173"/>
      <c r="C86" s="174"/>
      <c r="D86" s="175"/>
      <c r="E86" s="176"/>
      <c r="F86" s="97"/>
      <c r="G86" s="177"/>
      <c r="H86" s="178"/>
      <c r="I86" s="179"/>
      <c r="J86" s="180"/>
      <c r="K86" s="181"/>
      <c r="L86" s="182"/>
      <c r="M86" s="157"/>
    </row>
    <row r="87" spans="1:13" ht="15" thickBot="1" x14ac:dyDescent="0.4">
      <c r="A87" s="68" t="s">
        <v>35</v>
      </c>
      <c r="B87" s="71">
        <f t="shared" ref="B87:M87" si="14">SUM(B76:B86)</f>
        <v>179</v>
      </c>
      <c r="C87" s="71">
        <f t="shared" si="14"/>
        <v>67.199999999999989</v>
      </c>
      <c r="D87" s="71">
        <f t="shared" si="14"/>
        <v>123.1</v>
      </c>
      <c r="E87" s="71">
        <f t="shared" si="14"/>
        <v>48.400000000000006</v>
      </c>
      <c r="F87" s="88">
        <f t="shared" si="14"/>
        <v>10.1</v>
      </c>
      <c r="G87" s="183">
        <f t="shared" si="14"/>
        <v>802</v>
      </c>
      <c r="H87" s="184">
        <f t="shared" si="14"/>
        <v>600</v>
      </c>
      <c r="I87" s="185">
        <f t="shared" si="14"/>
        <v>771</v>
      </c>
      <c r="J87" s="71">
        <f t="shared" si="14"/>
        <v>25.9</v>
      </c>
      <c r="K87" s="71">
        <f t="shared" si="14"/>
        <v>31.599999999999994</v>
      </c>
      <c r="L87" s="71">
        <f t="shared" si="14"/>
        <v>54.5</v>
      </c>
      <c r="M87" s="104">
        <f t="shared" si="14"/>
        <v>67.8</v>
      </c>
    </row>
    <row r="88" spans="1:13" ht="15" thickBot="1" x14ac:dyDescent="0.4">
      <c r="A88" s="186" t="s">
        <v>36</v>
      </c>
      <c r="B88" s="187">
        <f>+B87+B75+B64</f>
        <v>556.59999999999991</v>
      </c>
      <c r="C88" s="187">
        <f t="shared" ref="C88:J88" si="15">+C87+C75+C64</f>
        <v>228.39999999999998</v>
      </c>
      <c r="D88" s="187">
        <f t="shared" si="15"/>
        <v>392.5</v>
      </c>
      <c r="E88" s="187">
        <f t="shared" si="15"/>
        <v>166.8</v>
      </c>
      <c r="F88" s="188">
        <f t="shared" si="15"/>
        <v>24.9</v>
      </c>
      <c r="G88" s="187">
        <f t="shared" si="15"/>
        <v>2612</v>
      </c>
      <c r="H88" s="189">
        <f t="shared" si="15"/>
        <v>1983</v>
      </c>
      <c r="I88" s="190">
        <f t="shared" si="15"/>
        <v>2495</v>
      </c>
      <c r="J88" s="191">
        <f t="shared" si="15"/>
        <v>57.12</v>
      </c>
      <c r="K88" s="187">
        <f>+K87+K75+K64</f>
        <v>73.5</v>
      </c>
      <c r="L88" s="187">
        <f>+L87+L75+L64</f>
        <v>127</v>
      </c>
      <c r="M88" s="111">
        <f t="shared" ref="M88" si="16">M87+M75+M64</f>
        <v>204.6</v>
      </c>
    </row>
    <row r="89" spans="1:13" ht="15" thickBot="1" x14ac:dyDescent="0.4">
      <c r="A89" s="192" t="s">
        <v>19</v>
      </c>
      <c r="B89" s="110">
        <f>+B88/28</f>
        <v>19.878571428571426</v>
      </c>
      <c r="C89" s="110">
        <f t="shared" ref="C89:J89" si="17">+C88/28</f>
        <v>8.1571428571428566</v>
      </c>
      <c r="D89" s="110">
        <f t="shared" si="17"/>
        <v>14.017857142857142</v>
      </c>
      <c r="E89" s="110">
        <f t="shared" si="17"/>
        <v>5.9571428571428573</v>
      </c>
      <c r="F89" s="193" t="s">
        <v>40</v>
      </c>
      <c r="G89" s="194">
        <f t="shared" si="17"/>
        <v>93.285714285714292</v>
      </c>
      <c r="H89" s="195">
        <f t="shared" si="17"/>
        <v>70.821428571428569</v>
      </c>
      <c r="I89" s="196">
        <f t="shared" si="17"/>
        <v>89.107142857142861</v>
      </c>
      <c r="J89" s="197">
        <f t="shared" si="17"/>
        <v>2.04</v>
      </c>
      <c r="K89" s="198">
        <v>0</v>
      </c>
      <c r="L89" s="199">
        <v>0</v>
      </c>
      <c r="M89" s="123"/>
    </row>
    <row r="90" spans="1:13" ht="16" thickBot="1" x14ac:dyDescent="0.4">
      <c r="A90" s="5"/>
      <c r="B90" s="6"/>
      <c r="C90" s="6"/>
      <c r="D90" s="6"/>
      <c r="E90" s="6"/>
      <c r="F90" s="4"/>
      <c r="G90" s="4"/>
      <c r="H90" s="4"/>
      <c r="I90" s="4"/>
      <c r="J90" s="4"/>
      <c r="K90" s="4"/>
      <c r="L90" s="4"/>
      <c r="M90" s="4"/>
    </row>
    <row r="91" spans="1:13" ht="16" thickBot="1" x14ac:dyDescent="0.4">
      <c r="A91" s="1" t="s">
        <v>0</v>
      </c>
      <c r="B91" s="2"/>
      <c r="C91" s="2"/>
      <c r="D91" s="2"/>
      <c r="E91" s="2"/>
      <c r="F91" s="3"/>
      <c r="G91" s="4"/>
      <c r="H91" s="4"/>
      <c r="I91" s="4"/>
      <c r="J91" s="4"/>
      <c r="K91" s="4"/>
      <c r="L91" s="4"/>
      <c r="M91" s="4"/>
    </row>
    <row r="92" spans="1:13" ht="15.5" x14ac:dyDescent="0.35">
      <c r="A92" s="5" t="s">
        <v>2</v>
      </c>
      <c r="B92" s="6"/>
      <c r="C92" s="6"/>
      <c r="D92" s="6"/>
      <c r="E92" s="6"/>
      <c r="F92" s="7"/>
      <c r="G92" s="4"/>
      <c r="H92" s="4"/>
      <c r="I92" s="1" t="s">
        <v>3</v>
      </c>
      <c r="J92" s="2"/>
      <c r="K92" s="2"/>
      <c r="L92" s="2"/>
      <c r="M92" s="8"/>
    </row>
    <row r="93" spans="1:13" ht="15.5" x14ac:dyDescent="0.35">
      <c r="A93" s="5" t="s">
        <v>4</v>
      </c>
      <c r="B93" s="6"/>
      <c r="C93" s="6"/>
      <c r="D93" s="6"/>
      <c r="E93" s="6"/>
      <c r="F93" s="7"/>
      <c r="G93" s="4"/>
      <c r="H93" s="4"/>
      <c r="I93" s="5" t="s">
        <v>5</v>
      </c>
      <c r="J93" s="6"/>
      <c r="K93" s="6"/>
      <c r="L93" s="9"/>
      <c r="M93" s="10"/>
    </row>
    <row r="94" spans="1:13" ht="16" thickBot="1" x14ac:dyDescent="0.4">
      <c r="A94" s="11" t="s">
        <v>6</v>
      </c>
      <c r="B94" s="12"/>
      <c r="C94" s="12"/>
      <c r="D94" s="12"/>
      <c r="E94" s="12"/>
      <c r="F94" s="13"/>
      <c r="G94" s="4"/>
      <c r="H94" s="4"/>
      <c r="I94" s="11" t="s">
        <v>7</v>
      </c>
      <c r="J94" s="12"/>
      <c r="K94" s="12"/>
      <c r="L94" s="14" t="s">
        <v>41</v>
      </c>
      <c r="M94" s="15"/>
    </row>
    <row r="95" spans="1:13" ht="26" thickBot="1" x14ac:dyDescent="0.65">
      <c r="A95" s="17" t="s">
        <v>39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x14ac:dyDescent="0.35">
      <c r="A96" s="915" t="s">
        <v>10</v>
      </c>
      <c r="B96" s="918" t="s">
        <v>11</v>
      </c>
      <c r="C96" s="919"/>
      <c r="D96" s="919"/>
      <c r="E96" s="919"/>
      <c r="F96" s="132" t="s">
        <v>12</v>
      </c>
      <c r="G96" s="918" t="s">
        <v>13</v>
      </c>
      <c r="H96" s="919"/>
      <c r="I96" s="920"/>
      <c r="J96" s="132" t="s">
        <v>14</v>
      </c>
      <c r="K96" s="918" t="s">
        <v>15</v>
      </c>
      <c r="L96" s="920"/>
      <c r="M96" s="132" t="s">
        <v>16</v>
      </c>
    </row>
    <row r="97" spans="1:13" ht="15" thickBot="1" x14ac:dyDescent="0.4">
      <c r="A97" s="916"/>
      <c r="B97" s="134" t="s">
        <v>17</v>
      </c>
      <c r="C97" s="135" t="s">
        <v>18</v>
      </c>
      <c r="D97" s="135" t="s">
        <v>19</v>
      </c>
      <c r="E97" s="200" t="s">
        <v>18</v>
      </c>
      <c r="F97" s="140" t="s">
        <v>20</v>
      </c>
      <c r="G97" s="138" t="s">
        <v>21</v>
      </c>
      <c r="H97" s="137"/>
      <c r="I97" s="139"/>
      <c r="J97" s="140" t="s">
        <v>22</v>
      </c>
      <c r="K97" s="138" t="s">
        <v>23</v>
      </c>
      <c r="L97" s="139"/>
      <c r="M97" s="140" t="s">
        <v>24</v>
      </c>
    </row>
    <row r="98" spans="1:13" ht="15" thickBot="1" x14ac:dyDescent="0.4">
      <c r="A98" s="917"/>
      <c r="B98" s="142" t="s">
        <v>25</v>
      </c>
      <c r="C98" s="143" t="s">
        <v>25</v>
      </c>
      <c r="D98" s="143"/>
      <c r="E98" s="201" t="s">
        <v>26</v>
      </c>
      <c r="F98" s="150" t="s">
        <v>27</v>
      </c>
      <c r="G98" s="146" t="s">
        <v>28</v>
      </c>
      <c r="H98" s="147" t="s">
        <v>29</v>
      </c>
      <c r="I98" s="148" t="s">
        <v>30</v>
      </c>
      <c r="J98" s="150" t="s">
        <v>31</v>
      </c>
      <c r="K98" s="202" t="s">
        <v>32</v>
      </c>
      <c r="L98" s="201" t="s">
        <v>33</v>
      </c>
      <c r="M98" s="203" t="s">
        <v>34</v>
      </c>
    </row>
    <row r="99" spans="1:13" ht="15.75" customHeight="1" x14ac:dyDescent="0.35">
      <c r="A99" s="204">
        <v>1</v>
      </c>
      <c r="B99" s="39">
        <v>19</v>
      </c>
      <c r="C99" s="40">
        <v>5.2</v>
      </c>
      <c r="D99" s="41">
        <f>(B99+C99)/2</f>
        <v>12.1</v>
      </c>
      <c r="E99" s="42">
        <v>4</v>
      </c>
      <c r="F99" s="205"/>
      <c r="G99" s="206">
        <v>87</v>
      </c>
      <c r="H99" s="81">
        <v>54</v>
      </c>
      <c r="I99" s="207">
        <v>84</v>
      </c>
      <c r="J99" s="208">
        <v>1.57</v>
      </c>
      <c r="K99" s="42">
        <v>2.1</v>
      </c>
      <c r="L99" s="48">
        <v>3.5</v>
      </c>
      <c r="M99" s="157">
        <v>10.7</v>
      </c>
    </row>
    <row r="100" spans="1:13" ht="15.5" x14ac:dyDescent="0.35">
      <c r="A100" s="209">
        <v>2</v>
      </c>
      <c r="B100" s="51">
        <v>18</v>
      </c>
      <c r="C100" s="52">
        <v>4</v>
      </c>
      <c r="D100" s="41">
        <f t="shared" ref="D100:D108" si="18">(B100+C100)/2</f>
        <v>11</v>
      </c>
      <c r="E100" s="53">
        <v>2.6</v>
      </c>
      <c r="F100" s="59">
        <v>3.2</v>
      </c>
      <c r="G100" s="210">
        <v>87</v>
      </c>
      <c r="H100" s="57">
        <v>52</v>
      </c>
      <c r="I100" s="211">
        <v>85</v>
      </c>
      <c r="J100" s="212">
        <v>2.71</v>
      </c>
      <c r="K100" s="53">
        <v>3.9</v>
      </c>
      <c r="L100" s="59">
        <v>6.5</v>
      </c>
      <c r="M100" s="157">
        <v>10.1</v>
      </c>
    </row>
    <row r="101" spans="1:13" ht="15.5" x14ac:dyDescent="0.35">
      <c r="A101" s="209">
        <v>3</v>
      </c>
      <c r="B101" s="51">
        <v>15.2</v>
      </c>
      <c r="C101" s="60">
        <v>5</v>
      </c>
      <c r="D101" s="41">
        <f t="shared" si="18"/>
        <v>10.1</v>
      </c>
      <c r="E101" s="53">
        <v>3.4</v>
      </c>
      <c r="F101" s="59"/>
      <c r="G101" s="210">
        <v>88</v>
      </c>
      <c r="H101" s="57">
        <v>59</v>
      </c>
      <c r="I101" s="211">
        <v>86</v>
      </c>
      <c r="J101" s="212">
        <v>2.0699999999999998</v>
      </c>
      <c r="K101" s="53">
        <v>3.5</v>
      </c>
      <c r="L101" s="59">
        <v>6</v>
      </c>
      <c r="M101" s="157">
        <v>0</v>
      </c>
    </row>
    <row r="102" spans="1:13" ht="15.5" x14ac:dyDescent="0.35">
      <c r="A102" s="209">
        <v>4</v>
      </c>
      <c r="B102" s="51">
        <v>17</v>
      </c>
      <c r="C102" s="60">
        <v>5.4</v>
      </c>
      <c r="D102" s="41">
        <f t="shared" si="18"/>
        <v>11.2</v>
      </c>
      <c r="E102" s="61">
        <v>3</v>
      </c>
      <c r="F102" s="59"/>
      <c r="G102" s="210">
        <v>90</v>
      </c>
      <c r="H102" s="57">
        <v>56</v>
      </c>
      <c r="I102" s="211">
        <v>84</v>
      </c>
      <c r="J102" s="212">
        <v>1.67</v>
      </c>
      <c r="K102" s="53">
        <v>2.6</v>
      </c>
      <c r="L102" s="59">
        <v>4</v>
      </c>
      <c r="M102" s="157">
        <v>9.1999999999999993</v>
      </c>
    </row>
    <row r="103" spans="1:13" ht="15.5" x14ac:dyDescent="0.35">
      <c r="A103" s="209">
        <v>5</v>
      </c>
      <c r="B103" s="51">
        <v>18.399999999999999</v>
      </c>
      <c r="C103" s="52">
        <v>6</v>
      </c>
      <c r="D103" s="41">
        <f t="shared" si="18"/>
        <v>12.2</v>
      </c>
      <c r="E103" s="61">
        <v>3.6</v>
      </c>
      <c r="F103" s="59"/>
      <c r="G103" s="210">
        <v>88</v>
      </c>
      <c r="H103" s="57">
        <v>66</v>
      </c>
      <c r="I103" s="207">
        <v>86</v>
      </c>
      <c r="J103" s="212">
        <v>1.28</v>
      </c>
      <c r="K103" s="53">
        <v>1.8</v>
      </c>
      <c r="L103" s="59">
        <v>3</v>
      </c>
      <c r="M103" s="157">
        <v>5</v>
      </c>
    </row>
    <row r="104" spans="1:13" ht="15.5" x14ac:dyDescent="0.35">
      <c r="A104" s="209">
        <v>6</v>
      </c>
      <c r="B104" s="51">
        <v>17.600000000000001</v>
      </c>
      <c r="C104" s="52">
        <v>6</v>
      </c>
      <c r="D104" s="41">
        <f t="shared" si="18"/>
        <v>11.8</v>
      </c>
      <c r="E104" s="61">
        <v>3</v>
      </c>
      <c r="F104" s="59"/>
      <c r="G104" s="210">
        <v>88</v>
      </c>
      <c r="H104" s="57">
        <v>70</v>
      </c>
      <c r="I104" s="213">
        <v>84</v>
      </c>
      <c r="J104" s="212">
        <v>1.43</v>
      </c>
      <c r="K104" s="53">
        <v>2.1</v>
      </c>
      <c r="L104" s="59">
        <v>3.5</v>
      </c>
      <c r="M104" s="157">
        <v>9.6999999999999993</v>
      </c>
    </row>
    <row r="105" spans="1:13" ht="15.5" x14ac:dyDescent="0.35">
      <c r="A105" s="209">
        <v>7</v>
      </c>
      <c r="B105" s="51">
        <v>19</v>
      </c>
      <c r="C105" s="52">
        <v>10</v>
      </c>
      <c r="D105" s="41">
        <f t="shared" si="18"/>
        <v>14.5</v>
      </c>
      <c r="E105" s="61">
        <v>9</v>
      </c>
      <c r="F105" s="59"/>
      <c r="G105" s="210">
        <v>89</v>
      </c>
      <c r="H105" s="57">
        <v>64</v>
      </c>
      <c r="I105" s="213">
        <v>86</v>
      </c>
      <c r="J105" s="212">
        <v>1.54</v>
      </c>
      <c r="K105" s="53">
        <v>2.1</v>
      </c>
      <c r="L105" s="59">
        <v>3.5</v>
      </c>
      <c r="M105" s="157">
        <v>4.5999999999999996</v>
      </c>
    </row>
    <row r="106" spans="1:13" ht="15.5" x14ac:dyDescent="0.35">
      <c r="A106" s="209">
        <v>8</v>
      </c>
      <c r="B106" s="51">
        <v>18.600000000000001</v>
      </c>
      <c r="C106" s="52">
        <v>9</v>
      </c>
      <c r="D106" s="41">
        <f t="shared" si="18"/>
        <v>13.8</v>
      </c>
      <c r="E106" s="61">
        <v>8.6</v>
      </c>
      <c r="F106" s="59"/>
      <c r="G106" s="210">
        <v>88</v>
      </c>
      <c r="H106" s="57">
        <v>60</v>
      </c>
      <c r="I106" s="213">
        <v>86</v>
      </c>
      <c r="J106" s="212">
        <v>2.34</v>
      </c>
      <c r="K106" s="53">
        <v>3.3</v>
      </c>
      <c r="L106" s="59">
        <v>5.5</v>
      </c>
      <c r="M106" s="157">
        <v>7.7</v>
      </c>
    </row>
    <row r="107" spans="1:13" ht="15.5" x14ac:dyDescent="0.35">
      <c r="A107" s="209">
        <v>9</v>
      </c>
      <c r="B107" s="51">
        <v>18.399999999999999</v>
      </c>
      <c r="C107" s="52">
        <v>7</v>
      </c>
      <c r="D107" s="41">
        <f t="shared" si="18"/>
        <v>12.7</v>
      </c>
      <c r="E107" s="61">
        <v>6.2</v>
      </c>
      <c r="F107" s="59">
        <v>17.8</v>
      </c>
      <c r="G107" s="210">
        <v>91</v>
      </c>
      <c r="H107" s="57">
        <v>62</v>
      </c>
      <c r="I107" s="213">
        <v>88</v>
      </c>
      <c r="J107" s="212">
        <v>3.97</v>
      </c>
      <c r="K107" s="53">
        <v>5.6</v>
      </c>
      <c r="L107" s="59">
        <v>9</v>
      </c>
      <c r="M107" s="157">
        <v>5.0999999999999996</v>
      </c>
    </row>
    <row r="108" spans="1:13" ht="16" thickBot="1" x14ac:dyDescent="0.4">
      <c r="A108" s="214">
        <v>10</v>
      </c>
      <c r="B108" s="51">
        <v>18</v>
      </c>
      <c r="C108" s="60">
        <v>8.6</v>
      </c>
      <c r="D108" s="41">
        <f t="shared" si="18"/>
        <v>13.3</v>
      </c>
      <c r="E108" s="53">
        <v>4.5999999999999996</v>
      </c>
      <c r="F108" s="50"/>
      <c r="G108" s="210">
        <v>87</v>
      </c>
      <c r="H108" s="57">
        <v>60</v>
      </c>
      <c r="I108" s="213">
        <v>86</v>
      </c>
      <c r="J108" s="212">
        <v>2.06</v>
      </c>
      <c r="K108" s="53">
        <v>3</v>
      </c>
      <c r="L108" s="59">
        <v>5</v>
      </c>
      <c r="M108" s="157">
        <v>10</v>
      </c>
    </row>
    <row r="109" spans="1:13" ht="15" thickBot="1" x14ac:dyDescent="0.4">
      <c r="A109" s="215" t="s">
        <v>35</v>
      </c>
      <c r="B109" s="86">
        <f t="shared" ref="B109:M109" si="19">SUM(B99:B108)</f>
        <v>179.2</v>
      </c>
      <c r="C109" s="70">
        <f t="shared" si="19"/>
        <v>66.2</v>
      </c>
      <c r="D109" s="70">
        <f t="shared" si="19"/>
        <v>122.7</v>
      </c>
      <c r="E109" s="216">
        <f t="shared" si="19"/>
        <v>48.000000000000007</v>
      </c>
      <c r="F109" s="217">
        <f t="shared" si="19"/>
        <v>21</v>
      </c>
      <c r="G109" s="218">
        <f t="shared" si="19"/>
        <v>883</v>
      </c>
      <c r="H109" s="73">
        <f t="shared" si="19"/>
        <v>603</v>
      </c>
      <c r="I109" s="219">
        <f t="shared" si="19"/>
        <v>855</v>
      </c>
      <c r="J109" s="89">
        <f t="shared" si="19"/>
        <v>20.639999999999997</v>
      </c>
      <c r="K109" s="217">
        <f t="shared" si="19"/>
        <v>30</v>
      </c>
      <c r="L109" s="71">
        <f t="shared" si="19"/>
        <v>49.5</v>
      </c>
      <c r="M109" s="220">
        <f t="shared" si="19"/>
        <v>72.100000000000009</v>
      </c>
    </row>
    <row r="110" spans="1:13" ht="15.75" customHeight="1" x14ac:dyDescent="0.35">
      <c r="A110" s="221">
        <v>11</v>
      </c>
      <c r="B110" s="51">
        <v>19</v>
      </c>
      <c r="C110" s="60">
        <v>9</v>
      </c>
      <c r="D110" s="41">
        <f t="shared" ref="D110:D119" si="20">(B110+C110)/2</f>
        <v>14</v>
      </c>
      <c r="E110" s="54">
        <v>7.4</v>
      </c>
      <c r="F110" s="222"/>
      <c r="G110" s="210">
        <v>87</v>
      </c>
      <c r="H110" s="57">
        <v>58</v>
      </c>
      <c r="I110" s="57">
        <v>84</v>
      </c>
      <c r="J110" s="212">
        <v>2.0299999999999998</v>
      </c>
      <c r="K110" s="53">
        <v>2.8</v>
      </c>
      <c r="L110" s="59">
        <v>4.5</v>
      </c>
      <c r="M110" s="157">
        <v>11</v>
      </c>
    </row>
    <row r="111" spans="1:13" ht="15.5" x14ac:dyDescent="0.35">
      <c r="A111" s="223">
        <v>12</v>
      </c>
      <c r="B111" s="51">
        <v>18.399999999999999</v>
      </c>
      <c r="C111" s="52">
        <v>5.4</v>
      </c>
      <c r="D111" s="41">
        <f t="shared" si="20"/>
        <v>11.899999999999999</v>
      </c>
      <c r="E111" s="224">
        <v>4</v>
      </c>
      <c r="F111" s="50"/>
      <c r="G111" s="210">
        <v>91</v>
      </c>
      <c r="H111" s="57">
        <v>68</v>
      </c>
      <c r="I111" s="57">
        <v>88</v>
      </c>
      <c r="J111" s="212">
        <v>1.52</v>
      </c>
      <c r="K111" s="42">
        <v>2.1</v>
      </c>
      <c r="L111" s="59">
        <v>3.5</v>
      </c>
      <c r="M111" s="157">
        <v>9.5</v>
      </c>
    </row>
    <row r="112" spans="1:13" ht="15.5" x14ac:dyDescent="0.35">
      <c r="A112" s="223">
        <v>13</v>
      </c>
      <c r="B112" s="51">
        <v>17</v>
      </c>
      <c r="C112" s="52">
        <v>4.5999999999999996</v>
      </c>
      <c r="D112" s="41">
        <f t="shared" si="20"/>
        <v>10.8</v>
      </c>
      <c r="E112" s="224">
        <v>3</v>
      </c>
      <c r="F112" s="50"/>
      <c r="G112" s="210">
        <v>88</v>
      </c>
      <c r="H112" s="57">
        <v>66</v>
      </c>
      <c r="I112" s="207">
        <v>86</v>
      </c>
      <c r="J112" s="212">
        <v>1.24</v>
      </c>
      <c r="K112" s="42">
        <v>1.9</v>
      </c>
      <c r="L112" s="59">
        <v>3</v>
      </c>
      <c r="M112" s="157">
        <v>5.3</v>
      </c>
    </row>
    <row r="113" spans="1:13" ht="15.5" x14ac:dyDescent="0.35">
      <c r="A113" s="223">
        <v>14</v>
      </c>
      <c r="B113" s="51">
        <v>20</v>
      </c>
      <c r="C113" s="52">
        <v>5</v>
      </c>
      <c r="D113" s="41">
        <f t="shared" si="20"/>
        <v>12.5</v>
      </c>
      <c r="E113" s="224">
        <v>3</v>
      </c>
      <c r="F113" s="50"/>
      <c r="G113" s="210">
        <v>88</v>
      </c>
      <c r="H113" s="57">
        <v>76</v>
      </c>
      <c r="I113" s="57">
        <v>86</v>
      </c>
      <c r="J113" s="212">
        <v>1.1499999999999999</v>
      </c>
      <c r="K113" s="42">
        <v>1.5</v>
      </c>
      <c r="L113" s="59">
        <v>2.5</v>
      </c>
      <c r="M113" s="157">
        <v>10.3</v>
      </c>
    </row>
    <row r="114" spans="1:13" ht="15.5" x14ac:dyDescent="0.35">
      <c r="A114" s="223">
        <v>15</v>
      </c>
      <c r="B114" s="51">
        <v>21.4</v>
      </c>
      <c r="C114" s="52">
        <v>5</v>
      </c>
      <c r="D114" s="41">
        <f t="shared" si="20"/>
        <v>13.2</v>
      </c>
      <c r="E114" s="224">
        <v>3.6</v>
      </c>
      <c r="F114" s="50"/>
      <c r="G114" s="210">
        <v>89</v>
      </c>
      <c r="H114" s="57">
        <v>70</v>
      </c>
      <c r="I114" s="57">
        <v>87</v>
      </c>
      <c r="J114" s="212">
        <v>1.45</v>
      </c>
      <c r="K114" s="42">
        <v>1.8</v>
      </c>
      <c r="L114" s="59">
        <v>3</v>
      </c>
      <c r="M114" s="157">
        <v>10.199999999999999</v>
      </c>
    </row>
    <row r="115" spans="1:13" ht="15.5" x14ac:dyDescent="0.35">
      <c r="A115" s="223">
        <v>16</v>
      </c>
      <c r="B115" s="51">
        <v>23.6</v>
      </c>
      <c r="C115" s="52">
        <v>8</v>
      </c>
      <c r="D115" s="41">
        <f t="shared" si="20"/>
        <v>15.8</v>
      </c>
      <c r="E115" s="224">
        <v>7</v>
      </c>
      <c r="F115" s="50"/>
      <c r="G115" s="210">
        <v>87</v>
      </c>
      <c r="H115" s="57">
        <v>62</v>
      </c>
      <c r="I115" s="57">
        <v>84</v>
      </c>
      <c r="J115" s="212">
        <v>1.25</v>
      </c>
      <c r="K115" s="42">
        <v>1.4</v>
      </c>
      <c r="L115" s="59">
        <v>2</v>
      </c>
      <c r="M115" s="157">
        <v>9.9</v>
      </c>
    </row>
    <row r="116" spans="1:13" ht="15.5" x14ac:dyDescent="0.35">
      <c r="A116" s="223">
        <v>17</v>
      </c>
      <c r="B116" s="51">
        <v>24</v>
      </c>
      <c r="C116" s="60">
        <v>8.6</v>
      </c>
      <c r="D116" s="41">
        <f t="shared" si="20"/>
        <v>16.3</v>
      </c>
      <c r="E116" s="224">
        <v>7</v>
      </c>
      <c r="F116" s="50"/>
      <c r="G116" s="210">
        <v>88</v>
      </c>
      <c r="H116" s="57">
        <v>60</v>
      </c>
      <c r="I116" s="57">
        <v>84</v>
      </c>
      <c r="J116" s="212">
        <v>1.26</v>
      </c>
      <c r="K116" s="42">
        <v>1.2</v>
      </c>
      <c r="L116" s="59">
        <v>2</v>
      </c>
      <c r="M116" s="157">
        <v>0</v>
      </c>
    </row>
    <row r="117" spans="1:13" ht="15.5" x14ac:dyDescent="0.35">
      <c r="A117" s="223">
        <v>18</v>
      </c>
      <c r="B117" s="51">
        <v>23.6</v>
      </c>
      <c r="C117" s="60">
        <v>7.4</v>
      </c>
      <c r="D117" s="41">
        <f t="shared" si="20"/>
        <v>15.5</v>
      </c>
      <c r="E117" s="54">
        <v>6.6</v>
      </c>
      <c r="F117" s="50"/>
      <c r="G117" s="210">
        <v>86</v>
      </c>
      <c r="H117" s="57">
        <v>58</v>
      </c>
      <c r="I117" s="57">
        <v>84</v>
      </c>
      <c r="J117" s="212">
        <v>1.33</v>
      </c>
      <c r="K117" s="42">
        <v>1.5</v>
      </c>
      <c r="L117" s="59">
        <v>2.5</v>
      </c>
      <c r="M117" s="157">
        <v>7.8</v>
      </c>
    </row>
    <row r="118" spans="1:13" ht="15.5" x14ac:dyDescent="0.35">
      <c r="A118" s="223">
        <v>19</v>
      </c>
      <c r="B118" s="51">
        <v>25.2</v>
      </c>
      <c r="C118" s="60">
        <v>9</v>
      </c>
      <c r="D118" s="41">
        <f t="shared" si="20"/>
        <v>17.100000000000001</v>
      </c>
      <c r="E118" s="224">
        <v>8</v>
      </c>
      <c r="F118" s="50"/>
      <c r="G118" s="210">
        <v>86</v>
      </c>
      <c r="H118" s="57">
        <v>64</v>
      </c>
      <c r="I118" s="57">
        <v>85</v>
      </c>
      <c r="J118" s="225">
        <v>1.07</v>
      </c>
      <c r="K118" s="42">
        <v>1.1000000000000001</v>
      </c>
      <c r="L118" s="59">
        <v>2</v>
      </c>
      <c r="M118" s="157">
        <v>9.9</v>
      </c>
    </row>
    <row r="119" spans="1:13" ht="16" thickBot="1" x14ac:dyDescent="0.4">
      <c r="A119" s="226">
        <v>20</v>
      </c>
      <c r="B119" s="51">
        <v>21.6</v>
      </c>
      <c r="C119" s="60">
        <v>9.4</v>
      </c>
      <c r="D119" s="41">
        <f t="shared" si="20"/>
        <v>15.5</v>
      </c>
      <c r="E119" s="224">
        <v>8.1999999999999993</v>
      </c>
      <c r="F119" s="227"/>
      <c r="G119" s="210">
        <v>90</v>
      </c>
      <c r="H119" s="57">
        <v>75</v>
      </c>
      <c r="I119" s="213">
        <v>88</v>
      </c>
      <c r="J119" s="225">
        <v>2.0499999999999998</v>
      </c>
      <c r="K119" s="42">
        <v>2.5</v>
      </c>
      <c r="L119" s="59">
        <v>4</v>
      </c>
      <c r="M119" s="157">
        <v>10.199999999999999</v>
      </c>
    </row>
    <row r="120" spans="1:13" ht="15" thickBot="1" x14ac:dyDescent="0.4">
      <c r="A120" s="228" t="s">
        <v>35</v>
      </c>
      <c r="B120" s="86">
        <f t="shared" ref="B120:M120" si="21">SUM(B110:B119)</f>
        <v>213.79999999999998</v>
      </c>
      <c r="C120" s="70">
        <f t="shared" si="21"/>
        <v>71.400000000000006</v>
      </c>
      <c r="D120" s="70">
        <f t="shared" si="21"/>
        <v>142.6</v>
      </c>
      <c r="E120" s="216">
        <f t="shared" si="21"/>
        <v>57.8</v>
      </c>
      <c r="F120" s="217">
        <f t="shared" si="21"/>
        <v>0</v>
      </c>
      <c r="G120" s="72">
        <f t="shared" si="21"/>
        <v>880</v>
      </c>
      <c r="H120" s="73">
        <f t="shared" si="21"/>
        <v>657</v>
      </c>
      <c r="I120" s="219">
        <f t="shared" si="21"/>
        <v>856</v>
      </c>
      <c r="J120" s="75">
        <f t="shared" si="21"/>
        <v>14.350000000000001</v>
      </c>
      <c r="K120" s="217">
        <f t="shared" si="21"/>
        <v>17.8</v>
      </c>
      <c r="L120" s="71">
        <f t="shared" si="21"/>
        <v>29</v>
      </c>
      <c r="M120" s="220">
        <f t="shared" si="21"/>
        <v>84.1</v>
      </c>
    </row>
    <row r="121" spans="1:13" ht="15.75" customHeight="1" x14ac:dyDescent="0.35">
      <c r="A121" s="204">
        <v>21</v>
      </c>
      <c r="B121" s="51">
        <v>18</v>
      </c>
      <c r="C121" s="60">
        <v>10</v>
      </c>
      <c r="D121" s="41">
        <f t="shared" ref="D121:D131" si="22">(B121+C121)/2</f>
        <v>14</v>
      </c>
      <c r="E121" s="61">
        <v>8.6</v>
      </c>
      <c r="F121" s="205"/>
      <c r="G121" s="210">
        <v>90</v>
      </c>
      <c r="H121" s="57">
        <v>73</v>
      </c>
      <c r="I121" s="211">
        <v>84</v>
      </c>
      <c r="J121" s="225">
        <v>2</v>
      </c>
      <c r="K121" s="42">
        <v>2.9</v>
      </c>
      <c r="L121" s="59">
        <v>4.5</v>
      </c>
      <c r="M121" s="157">
        <v>0</v>
      </c>
    </row>
    <row r="122" spans="1:13" ht="15.5" x14ac:dyDescent="0.35">
      <c r="A122" s="209">
        <v>22</v>
      </c>
      <c r="B122" s="51">
        <v>20.399999999999999</v>
      </c>
      <c r="C122" s="60">
        <v>10.199999999999999</v>
      </c>
      <c r="D122" s="41">
        <f t="shared" si="22"/>
        <v>15.299999999999999</v>
      </c>
      <c r="E122" s="53">
        <v>8</v>
      </c>
      <c r="F122" s="59"/>
      <c r="G122" s="206">
        <v>90</v>
      </c>
      <c r="H122" s="57">
        <v>73</v>
      </c>
      <c r="I122" s="211">
        <v>86</v>
      </c>
      <c r="J122" s="225">
        <v>1.27</v>
      </c>
      <c r="K122" s="42">
        <v>1.6</v>
      </c>
      <c r="L122" s="59">
        <v>2.5</v>
      </c>
      <c r="M122" s="157">
        <v>0</v>
      </c>
    </row>
    <row r="123" spans="1:13" ht="15.5" x14ac:dyDescent="0.35">
      <c r="A123" s="209">
        <v>23</v>
      </c>
      <c r="B123" s="51">
        <v>20.6</v>
      </c>
      <c r="C123" s="60">
        <v>12.4</v>
      </c>
      <c r="D123" s="41">
        <f t="shared" si="22"/>
        <v>16.5</v>
      </c>
      <c r="E123" s="61">
        <v>8.8000000000000007</v>
      </c>
      <c r="F123" s="59"/>
      <c r="G123" s="206">
        <v>92</v>
      </c>
      <c r="H123" s="57">
        <v>71</v>
      </c>
      <c r="I123" s="57">
        <v>84</v>
      </c>
      <c r="J123" s="225">
        <v>1.7</v>
      </c>
      <c r="K123" s="42">
        <v>1.6</v>
      </c>
      <c r="L123" s="59">
        <v>2.5</v>
      </c>
      <c r="M123" s="157">
        <v>0</v>
      </c>
    </row>
    <row r="124" spans="1:13" ht="15.5" x14ac:dyDescent="0.35">
      <c r="A124" s="209">
        <v>24</v>
      </c>
      <c r="B124" s="51">
        <v>20.8</v>
      </c>
      <c r="C124" s="60">
        <v>13</v>
      </c>
      <c r="D124" s="41">
        <f t="shared" si="22"/>
        <v>16.899999999999999</v>
      </c>
      <c r="E124" s="61">
        <v>9.1999999999999993</v>
      </c>
      <c r="F124" s="59">
        <v>6.2</v>
      </c>
      <c r="G124" s="206">
        <v>94</v>
      </c>
      <c r="H124" s="57">
        <v>78</v>
      </c>
      <c r="I124" s="213">
        <v>91</v>
      </c>
      <c r="J124" s="225">
        <v>2.12</v>
      </c>
      <c r="K124" s="42">
        <v>2.7</v>
      </c>
      <c r="L124" s="59">
        <v>4</v>
      </c>
      <c r="M124" s="157">
        <v>0.3</v>
      </c>
    </row>
    <row r="125" spans="1:13" ht="15.5" x14ac:dyDescent="0.35">
      <c r="A125" s="209">
        <v>25</v>
      </c>
      <c r="B125" s="51">
        <v>21.6</v>
      </c>
      <c r="C125" s="60">
        <v>12.6</v>
      </c>
      <c r="D125" s="41">
        <f>(B125+C125)/2</f>
        <v>17.100000000000001</v>
      </c>
      <c r="E125" s="53">
        <v>8.4</v>
      </c>
      <c r="F125" s="59">
        <v>1</v>
      </c>
      <c r="G125" s="206">
        <v>88</v>
      </c>
      <c r="H125" s="57">
        <v>72</v>
      </c>
      <c r="I125" s="229">
        <v>84</v>
      </c>
      <c r="J125" s="225">
        <v>2.27</v>
      </c>
      <c r="K125" s="42">
        <v>2.2000000000000002</v>
      </c>
      <c r="L125" s="59">
        <v>4.5</v>
      </c>
      <c r="M125" s="157">
        <v>6.5</v>
      </c>
    </row>
    <row r="126" spans="1:13" ht="15.5" x14ac:dyDescent="0.35">
      <c r="A126" s="209">
        <v>26</v>
      </c>
      <c r="B126" s="51">
        <v>22.6</v>
      </c>
      <c r="C126" s="60">
        <v>13.6</v>
      </c>
      <c r="D126" s="41">
        <f>(B126+C126)/2</f>
        <v>18.100000000000001</v>
      </c>
      <c r="E126" s="53">
        <v>9.4</v>
      </c>
      <c r="F126" s="59">
        <v>7.5</v>
      </c>
      <c r="G126" s="230">
        <v>92</v>
      </c>
      <c r="H126" s="81">
        <v>76</v>
      </c>
      <c r="I126" s="211">
        <v>88</v>
      </c>
      <c r="J126" s="225">
        <v>3.04</v>
      </c>
      <c r="K126" s="42">
        <v>3.5</v>
      </c>
      <c r="L126" s="59">
        <v>6</v>
      </c>
      <c r="M126" s="157">
        <v>1.8</v>
      </c>
    </row>
    <row r="127" spans="1:13" ht="15.5" x14ac:dyDescent="0.35">
      <c r="A127" s="209">
        <v>27</v>
      </c>
      <c r="B127" s="51">
        <v>21.2</v>
      </c>
      <c r="C127" s="60">
        <v>10</v>
      </c>
      <c r="D127" s="41">
        <f t="shared" si="22"/>
        <v>15.6</v>
      </c>
      <c r="E127" s="53">
        <v>8</v>
      </c>
      <c r="F127" s="59"/>
      <c r="G127" s="230">
        <v>88</v>
      </c>
      <c r="H127" s="57">
        <v>75</v>
      </c>
      <c r="I127" s="211">
        <v>87</v>
      </c>
      <c r="J127" s="225">
        <v>3.46</v>
      </c>
      <c r="K127" s="42">
        <v>4.2</v>
      </c>
      <c r="L127" s="59">
        <v>7</v>
      </c>
      <c r="M127" s="157">
        <v>8.9</v>
      </c>
    </row>
    <row r="128" spans="1:13" ht="15.5" x14ac:dyDescent="0.35">
      <c r="A128" s="209">
        <v>28</v>
      </c>
      <c r="B128" s="51">
        <v>25.4</v>
      </c>
      <c r="C128" s="60">
        <v>11</v>
      </c>
      <c r="D128" s="41">
        <f t="shared" si="22"/>
        <v>18.2</v>
      </c>
      <c r="E128" s="53">
        <v>8.6</v>
      </c>
      <c r="F128" s="59"/>
      <c r="G128" s="230">
        <v>89</v>
      </c>
      <c r="H128" s="57">
        <v>70</v>
      </c>
      <c r="I128" s="207">
        <v>85</v>
      </c>
      <c r="J128" s="225">
        <v>2.2999999999999998</v>
      </c>
      <c r="K128" s="42">
        <v>2.4</v>
      </c>
      <c r="L128" s="59">
        <v>4</v>
      </c>
      <c r="M128" s="157">
        <v>10.8</v>
      </c>
    </row>
    <row r="129" spans="1:13" ht="15.5" x14ac:dyDescent="0.35">
      <c r="A129" s="209">
        <v>29</v>
      </c>
      <c r="B129" s="51">
        <v>24.6</v>
      </c>
      <c r="C129" s="60">
        <v>8.4</v>
      </c>
      <c r="D129" s="41">
        <f t="shared" si="22"/>
        <v>16.5</v>
      </c>
      <c r="E129" s="53">
        <v>6.8</v>
      </c>
      <c r="F129" s="59">
        <v>1.6</v>
      </c>
      <c r="G129" s="230">
        <v>87</v>
      </c>
      <c r="H129" s="57">
        <v>72</v>
      </c>
      <c r="I129" s="57">
        <v>85</v>
      </c>
      <c r="J129" s="225">
        <v>2.5499999999999998</v>
      </c>
      <c r="K129" s="42">
        <v>2.7</v>
      </c>
      <c r="L129" s="59">
        <v>4.5</v>
      </c>
      <c r="M129" s="157">
        <v>4.3</v>
      </c>
    </row>
    <row r="130" spans="1:13" ht="15.5" x14ac:dyDescent="0.35">
      <c r="A130" s="209">
        <v>30</v>
      </c>
      <c r="B130" s="51">
        <v>23.6</v>
      </c>
      <c r="C130" s="60">
        <v>10</v>
      </c>
      <c r="D130" s="41">
        <f t="shared" si="22"/>
        <v>16.8</v>
      </c>
      <c r="E130" s="53">
        <v>8.1999999999999993</v>
      </c>
      <c r="F130" s="59"/>
      <c r="G130" s="230">
        <v>89</v>
      </c>
      <c r="H130" s="57">
        <v>76</v>
      </c>
      <c r="I130" s="57">
        <v>86</v>
      </c>
      <c r="J130" s="225">
        <v>3.7</v>
      </c>
      <c r="K130" s="42">
        <v>4.0999999999999996</v>
      </c>
      <c r="L130" s="59">
        <v>6.5</v>
      </c>
      <c r="M130" s="157">
        <v>8.4</v>
      </c>
    </row>
    <row r="131" spans="1:13" ht="16" thickBot="1" x14ac:dyDescent="0.4">
      <c r="A131" s="231">
        <v>31</v>
      </c>
      <c r="B131" s="94">
        <v>25</v>
      </c>
      <c r="C131" s="95">
        <v>9.8000000000000007</v>
      </c>
      <c r="D131" s="41">
        <f t="shared" si="22"/>
        <v>17.399999999999999</v>
      </c>
      <c r="E131" s="96">
        <v>7.2</v>
      </c>
      <c r="F131" s="232">
        <v>0.7</v>
      </c>
      <c r="G131" s="233">
        <v>87</v>
      </c>
      <c r="H131" s="100">
        <v>70</v>
      </c>
      <c r="I131" s="57">
        <v>84</v>
      </c>
      <c r="J131" s="234">
        <v>4.3</v>
      </c>
      <c r="K131" s="95">
        <v>3.8</v>
      </c>
      <c r="L131" s="235">
        <v>6</v>
      </c>
      <c r="M131" s="157">
        <v>9.1999999999999993</v>
      </c>
    </row>
    <row r="132" spans="1:13" ht="16" thickBot="1" x14ac:dyDescent="0.4">
      <c r="A132" s="236" t="s">
        <v>35</v>
      </c>
      <c r="B132" s="237">
        <f t="shared" ref="B132:M132" si="23">SUM(B121:B131)</f>
        <v>243.79999999999998</v>
      </c>
      <c r="C132" s="238">
        <f t="shared" si="23"/>
        <v>121</v>
      </c>
      <c r="D132" s="238">
        <f t="shared" si="23"/>
        <v>182.4</v>
      </c>
      <c r="E132" s="239">
        <f t="shared" si="23"/>
        <v>91.2</v>
      </c>
      <c r="F132" s="240">
        <f t="shared" si="23"/>
        <v>17</v>
      </c>
      <c r="G132" s="241">
        <f t="shared" si="23"/>
        <v>986</v>
      </c>
      <c r="H132" s="242">
        <f t="shared" si="23"/>
        <v>806</v>
      </c>
      <c r="I132" s="243">
        <f t="shared" si="23"/>
        <v>944</v>
      </c>
      <c r="J132" s="244">
        <f t="shared" si="23"/>
        <v>28.71</v>
      </c>
      <c r="K132" s="245">
        <f t="shared" si="23"/>
        <v>31.7</v>
      </c>
      <c r="L132" s="246">
        <f t="shared" si="23"/>
        <v>52</v>
      </c>
      <c r="M132" s="247">
        <f t="shared" si="23"/>
        <v>50.2</v>
      </c>
    </row>
    <row r="133" spans="1:13" ht="16" thickBot="1" x14ac:dyDescent="0.4">
      <c r="A133" s="248" t="s">
        <v>36</v>
      </c>
      <c r="B133" s="249">
        <f>B109+B120+B132</f>
        <v>636.79999999999995</v>
      </c>
      <c r="C133" s="250">
        <f t="shared" ref="C133:M133" si="24">C109+C120+C132</f>
        <v>258.60000000000002</v>
      </c>
      <c r="D133" s="250">
        <f t="shared" si="24"/>
        <v>447.70000000000005</v>
      </c>
      <c r="E133" s="251">
        <f t="shared" si="24"/>
        <v>197</v>
      </c>
      <c r="F133" s="252">
        <f t="shared" si="24"/>
        <v>38</v>
      </c>
      <c r="G133" s="253">
        <f t="shared" si="24"/>
        <v>2749</v>
      </c>
      <c r="H133" s="254">
        <f t="shared" si="24"/>
        <v>2066</v>
      </c>
      <c r="I133" s="255">
        <f t="shared" si="24"/>
        <v>2655</v>
      </c>
      <c r="J133" s="256">
        <f t="shared" si="24"/>
        <v>63.699999999999996</v>
      </c>
      <c r="K133" s="249">
        <f t="shared" si="24"/>
        <v>79.5</v>
      </c>
      <c r="L133" s="249">
        <f t="shared" si="24"/>
        <v>130.5</v>
      </c>
      <c r="M133" s="257">
        <f t="shared" si="24"/>
        <v>206.39999999999998</v>
      </c>
    </row>
    <row r="134" spans="1:13" ht="16" thickBot="1" x14ac:dyDescent="0.4">
      <c r="A134" s="258" t="s">
        <v>19</v>
      </c>
      <c r="B134" s="259">
        <f>B133/31</f>
        <v>20.541935483870965</v>
      </c>
      <c r="C134" s="260">
        <f t="shared" ref="C134:J134" si="25">C133/31</f>
        <v>8.3419354838709676</v>
      </c>
      <c r="D134" s="260">
        <f t="shared" si="25"/>
        <v>14.441935483870969</v>
      </c>
      <c r="E134" s="261">
        <f t="shared" si="25"/>
        <v>6.354838709677419</v>
      </c>
      <c r="F134" s="262" t="s">
        <v>42</v>
      </c>
      <c r="G134" s="263">
        <f t="shared" si="25"/>
        <v>88.677419354838705</v>
      </c>
      <c r="H134" s="264">
        <f t="shared" si="25"/>
        <v>66.645161290322577</v>
      </c>
      <c r="I134" s="265">
        <f t="shared" si="25"/>
        <v>85.645161290322577</v>
      </c>
      <c r="J134" s="266">
        <f t="shared" si="25"/>
        <v>2.0548387096774192</v>
      </c>
      <c r="K134" s="267"/>
      <c r="L134" s="268"/>
      <c r="M134" s="269"/>
    </row>
    <row r="135" spans="1:13" ht="16" thickBot="1" x14ac:dyDescent="0.4">
      <c r="A135" s="6"/>
      <c r="B135" s="6"/>
      <c r="C135" s="6"/>
      <c r="D135" s="6"/>
      <c r="E135" s="6"/>
      <c r="F135" s="4"/>
      <c r="G135" s="4"/>
      <c r="H135" s="4"/>
      <c r="I135" s="4"/>
      <c r="J135" s="4"/>
      <c r="K135" s="4"/>
      <c r="L135" s="4"/>
      <c r="M135" s="4"/>
    </row>
    <row r="136" spans="1:13" ht="16" thickBot="1" x14ac:dyDescent="0.4">
      <c r="A136" s="1" t="s">
        <v>0</v>
      </c>
      <c r="B136" s="2"/>
      <c r="C136" s="2"/>
      <c r="D136" s="2"/>
      <c r="E136" s="2"/>
      <c r="F136" s="3"/>
      <c r="G136" s="4"/>
      <c r="H136" s="4"/>
      <c r="I136" s="4"/>
      <c r="J136" s="4"/>
      <c r="K136" s="4"/>
      <c r="L136" s="4"/>
      <c r="M136" s="4"/>
    </row>
    <row r="137" spans="1:13" ht="15.5" x14ac:dyDescent="0.35">
      <c r="A137" s="5" t="s">
        <v>2</v>
      </c>
      <c r="B137" s="6"/>
      <c r="C137" s="6"/>
      <c r="D137" s="6"/>
      <c r="E137" s="6"/>
      <c r="F137" s="7"/>
      <c r="G137" s="4"/>
      <c r="H137" s="4"/>
      <c r="I137" s="1" t="s">
        <v>3</v>
      </c>
      <c r="J137" s="2"/>
      <c r="K137" s="2"/>
      <c r="L137" s="2"/>
      <c r="M137" s="8"/>
    </row>
    <row r="138" spans="1:13" ht="15.5" x14ac:dyDescent="0.35">
      <c r="A138" s="5" t="s">
        <v>4</v>
      </c>
      <c r="B138" s="6"/>
      <c r="C138" s="6"/>
      <c r="D138" s="6"/>
      <c r="E138" s="6"/>
      <c r="F138" s="7"/>
      <c r="G138" s="4"/>
      <c r="H138" s="4"/>
      <c r="I138" s="5" t="s">
        <v>5</v>
      </c>
      <c r="J138" s="6"/>
      <c r="K138" s="6"/>
      <c r="L138" s="9"/>
      <c r="M138" s="10"/>
    </row>
    <row r="139" spans="1:13" ht="16" thickBot="1" x14ac:dyDescent="0.4">
      <c r="A139" s="11" t="s">
        <v>6</v>
      </c>
      <c r="B139" s="12"/>
      <c r="C139" s="12"/>
      <c r="D139" s="12"/>
      <c r="E139" s="12"/>
      <c r="F139" s="13"/>
      <c r="G139" s="4"/>
      <c r="H139" s="4"/>
      <c r="I139" s="11" t="s">
        <v>7</v>
      </c>
      <c r="J139" s="12"/>
      <c r="K139" s="12"/>
      <c r="L139" s="14" t="s">
        <v>43</v>
      </c>
      <c r="M139" s="15"/>
    </row>
    <row r="140" spans="1:13" ht="26" thickBot="1" x14ac:dyDescent="0.65">
      <c r="A140" s="17" t="s">
        <v>39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x14ac:dyDescent="0.35">
      <c r="A141" s="128" t="s">
        <v>10</v>
      </c>
      <c r="B141" s="918" t="s">
        <v>11</v>
      </c>
      <c r="C141" s="919"/>
      <c r="D141" s="919"/>
      <c r="E141" s="920"/>
      <c r="F141" s="129" t="s">
        <v>12</v>
      </c>
      <c r="G141" s="918" t="s">
        <v>13</v>
      </c>
      <c r="H141" s="919"/>
      <c r="I141" s="920"/>
      <c r="J141" s="132" t="s">
        <v>14</v>
      </c>
      <c r="K141" s="919" t="s">
        <v>15</v>
      </c>
      <c r="L141" s="920"/>
      <c r="M141" s="132" t="s">
        <v>16</v>
      </c>
    </row>
    <row r="142" spans="1:13" ht="15" thickBot="1" x14ac:dyDescent="0.4">
      <c r="A142" s="133"/>
      <c r="B142" s="134" t="s">
        <v>17</v>
      </c>
      <c r="C142" s="135" t="s">
        <v>18</v>
      </c>
      <c r="D142" s="135" t="s">
        <v>19</v>
      </c>
      <c r="E142" s="200" t="s">
        <v>18</v>
      </c>
      <c r="F142" s="138" t="s">
        <v>20</v>
      </c>
      <c r="G142" s="924" t="s">
        <v>21</v>
      </c>
      <c r="H142" s="925"/>
      <c r="I142" s="926"/>
      <c r="J142" s="140" t="s">
        <v>22</v>
      </c>
      <c r="K142" s="925" t="s">
        <v>23</v>
      </c>
      <c r="L142" s="926"/>
      <c r="M142" s="140" t="s">
        <v>24</v>
      </c>
    </row>
    <row r="143" spans="1:13" ht="15" thickBot="1" x14ac:dyDescent="0.4">
      <c r="A143" s="141"/>
      <c r="B143" s="142" t="s">
        <v>25</v>
      </c>
      <c r="C143" s="143" t="s">
        <v>25</v>
      </c>
      <c r="D143" s="143"/>
      <c r="E143" s="201" t="s">
        <v>26</v>
      </c>
      <c r="F143" s="270" t="s">
        <v>27</v>
      </c>
      <c r="G143" s="271" t="s">
        <v>28</v>
      </c>
      <c r="H143" s="272" t="s">
        <v>29</v>
      </c>
      <c r="I143" s="273" t="s">
        <v>30</v>
      </c>
      <c r="J143" s="274" t="s">
        <v>31</v>
      </c>
      <c r="K143" s="146" t="s">
        <v>32</v>
      </c>
      <c r="L143" s="148" t="s">
        <v>33</v>
      </c>
      <c r="M143" s="150" t="s">
        <v>34</v>
      </c>
    </row>
    <row r="144" spans="1:13" ht="15.5" x14ac:dyDescent="0.35">
      <c r="A144" s="204">
        <v>1</v>
      </c>
      <c r="B144" s="275">
        <v>20.6</v>
      </c>
      <c r="C144" s="276">
        <v>9</v>
      </c>
      <c r="D144" s="277">
        <f>(B144+C144)/2</f>
        <v>14.8</v>
      </c>
      <c r="E144" s="278">
        <v>9.1999999999999993</v>
      </c>
      <c r="F144" s="279">
        <v>1.1000000000000001</v>
      </c>
      <c r="G144" s="280">
        <v>90</v>
      </c>
      <c r="H144" s="281">
        <v>76</v>
      </c>
      <c r="I144" s="282">
        <v>89</v>
      </c>
      <c r="J144" s="283">
        <v>1.52</v>
      </c>
      <c r="K144" s="42">
        <v>1.9</v>
      </c>
      <c r="L144" s="48">
        <v>3</v>
      </c>
      <c r="M144" s="284">
        <v>10.6</v>
      </c>
    </row>
    <row r="145" spans="1:13" ht="15.5" x14ac:dyDescent="0.35">
      <c r="A145" s="209">
        <v>2</v>
      </c>
      <c r="B145" s="285">
        <v>22.2</v>
      </c>
      <c r="C145" s="286">
        <v>12</v>
      </c>
      <c r="D145" s="277">
        <f t="shared" ref="D145:D153" si="26">(B145+C145)/2</f>
        <v>17.100000000000001</v>
      </c>
      <c r="E145" s="287">
        <v>8.4</v>
      </c>
      <c r="F145" s="279"/>
      <c r="G145" s="288">
        <v>88</v>
      </c>
      <c r="H145" s="289">
        <v>71</v>
      </c>
      <c r="I145" s="290">
        <v>84</v>
      </c>
      <c r="J145" s="225">
        <v>1.1399999999999999</v>
      </c>
      <c r="K145" s="53">
        <v>1.3</v>
      </c>
      <c r="L145" s="59">
        <v>2</v>
      </c>
      <c r="M145" s="291">
        <v>6.9</v>
      </c>
    </row>
    <row r="146" spans="1:13" ht="15.5" x14ac:dyDescent="0.35">
      <c r="A146" s="209">
        <v>3</v>
      </c>
      <c r="B146" s="285">
        <v>22.4</v>
      </c>
      <c r="C146" s="286">
        <v>14</v>
      </c>
      <c r="D146" s="277">
        <f t="shared" si="26"/>
        <v>18.2</v>
      </c>
      <c r="E146" s="287">
        <v>4.8</v>
      </c>
      <c r="F146" s="279"/>
      <c r="G146" s="292">
        <v>90</v>
      </c>
      <c r="H146" s="289">
        <v>84</v>
      </c>
      <c r="I146" s="288">
        <v>88</v>
      </c>
      <c r="J146" s="225">
        <v>1.5</v>
      </c>
      <c r="K146" s="53">
        <v>1.7</v>
      </c>
      <c r="L146" s="59">
        <v>3</v>
      </c>
      <c r="M146" s="293">
        <v>11.7</v>
      </c>
    </row>
    <row r="147" spans="1:13" ht="15.5" x14ac:dyDescent="0.35">
      <c r="A147" s="209">
        <v>4</v>
      </c>
      <c r="B147" s="285">
        <v>21.6</v>
      </c>
      <c r="C147" s="286">
        <v>11</v>
      </c>
      <c r="D147" s="277">
        <f t="shared" si="26"/>
        <v>16.3</v>
      </c>
      <c r="E147" s="294">
        <v>5.2</v>
      </c>
      <c r="F147" s="279"/>
      <c r="G147" s="288">
        <v>87</v>
      </c>
      <c r="H147" s="289">
        <v>73</v>
      </c>
      <c r="I147" s="289">
        <v>85</v>
      </c>
      <c r="J147" s="225">
        <v>1.43</v>
      </c>
      <c r="K147" s="53">
        <v>1.7</v>
      </c>
      <c r="L147" s="59">
        <v>3</v>
      </c>
      <c r="M147" s="291">
        <v>11.4</v>
      </c>
    </row>
    <row r="148" spans="1:13" ht="15.5" x14ac:dyDescent="0.35">
      <c r="A148" s="209">
        <v>5</v>
      </c>
      <c r="B148" s="285">
        <v>25.2</v>
      </c>
      <c r="C148" s="286">
        <v>14.2</v>
      </c>
      <c r="D148" s="277">
        <f t="shared" si="26"/>
        <v>19.7</v>
      </c>
      <c r="E148" s="294">
        <v>6.6</v>
      </c>
      <c r="F148" s="279"/>
      <c r="G148" s="288">
        <v>86</v>
      </c>
      <c r="H148" s="289">
        <v>56</v>
      </c>
      <c r="I148" s="295">
        <v>84</v>
      </c>
      <c r="J148" s="225">
        <v>1.37</v>
      </c>
      <c r="K148" s="53">
        <v>1.4</v>
      </c>
      <c r="L148" s="59">
        <v>2.5</v>
      </c>
      <c r="M148" s="291">
        <v>10.6</v>
      </c>
    </row>
    <row r="149" spans="1:13" ht="15.5" x14ac:dyDescent="0.35">
      <c r="A149" s="209">
        <v>6</v>
      </c>
      <c r="B149" s="285">
        <v>26</v>
      </c>
      <c r="C149" s="286">
        <v>14.2</v>
      </c>
      <c r="D149" s="277">
        <f t="shared" si="26"/>
        <v>20.100000000000001</v>
      </c>
      <c r="E149" s="294">
        <v>9.4</v>
      </c>
      <c r="F149" s="279"/>
      <c r="G149" s="292">
        <v>90</v>
      </c>
      <c r="H149" s="289">
        <v>62</v>
      </c>
      <c r="I149" s="295">
        <v>85</v>
      </c>
      <c r="J149" s="225">
        <v>2.88</v>
      </c>
      <c r="K149" s="53">
        <v>2.9</v>
      </c>
      <c r="L149" s="59">
        <v>5</v>
      </c>
      <c r="M149" s="291">
        <v>3.8</v>
      </c>
    </row>
    <row r="150" spans="1:13" ht="15.5" x14ac:dyDescent="0.35">
      <c r="A150" s="209">
        <v>7</v>
      </c>
      <c r="B150" s="285">
        <v>20.399999999999999</v>
      </c>
      <c r="C150" s="286">
        <v>12.4</v>
      </c>
      <c r="D150" s="277">
        <f t="shared" si="26"/>
        <v>16.399999999999999</v>
      </c>
      <c r="E150" s="294">
        <v>7.2</v>
      </c>
      <c r="F150" s="279"/>
      <c r="G150" s="288">
        <v>87</v>
      </c>
      <c r="H150" s="289">
        <v>68</v>
      </c>
      <c r="I150" s="295">
        <v>85</v>
      </c>
      <c r="J150" s="225">
        <v>1.68</v>
      </c>
      <c r="K150" s="53">
        <v>2.1</v>
      </c>
      <c r="L150" s="59">
        <v>3.5</v>
      </c>
      <c r="M150" s="291">
        <v>0</v>
      </c>
    </row>
    <row r="151" spans="1:13" ht="15.5" x14ac:dyDescent="0.35">
      <c r="A151" s="209">
        <v>8</v>
      </c>
      <c r="B151" s="285">
        <v>23.6</v>
      </c>
      <c r="C151" s="286">
        <v>13</v>
      </c>
      <c r="D151" s="277">
        <f t="shared" si="26"/>
        <v>18.3</v>
      </c>
      <c r="E151" s="294">
        <v>9.6</v>
      </c>
      <c r="F151" s="279"/>
      <c r="G151" s="288">
        <v>86</v>
      </c>
      <c r="H151" s="289">
        <v>62</v>
      </c>
      <c r="I151" s="295">
        <v>84</v>
      </c>
      <c r="J151" s="225">
        <v>1.43</v>
      </c>
      <c r="K151" s="53">
        <v>1.6</v>
      </c>
      <c r="L151" s="59">
        <v>2.5</v>
      </c>
      <c r="M151" s="291">
        <v>10.199999999999999</v>
      </c>
    </row>
    <row r="152" spans="1:13" ht="15.5" x14ac:dyDescent="0.35">
      <c r="A152" s="209">
        <v>9</v>
      </c>
      <c r="B152" s="285">
        <v>21.6</v>
      </c>
      <c r="C152" s="286">
        <v>15.4</v>
      </c>
      <c r="D152" s="277">
        <f t="shared" si="26"/>
        <v>18.5</v>
      </c>
      <c r="E152" s="294">
        <v>8</v>
      </c>
      <c r="F152" s="279"/>
      <c r="G152" s="288">
        <v>87</v>
      </c>
      <c r="H152" s="289">
        <v>76</v>
      </c>
      <c r="I152" s="295">
        <v>87</v>
      </c>
      <c r="J152" s="225">
        <v>2.19</v>
      </c>
      <c r="K152" s="53">
        <v>2.6</v>
      </c>
      <c r="L152" s="59">
        <v>4.5</v>
      </c>
      <c r="M152" s="291">
        <v>11.6</v>
      </c>
    </row>
    <row r="153" spans="1:13" ht="16" thickBot="1" x14ac:dyDescent="0.4">
      <c r="A153" s="214">
        <v>10</v>
      </c>
      <c r="B153" s="285">
        <v>21.6</v>
      </c>
      <c r="C153" s="286">
        <v>9.6</v>
      </c>
      <c r="D153" s="277">
        <f t="shared" si="26"/>
        <v>15.600000000000001</v>
      </c>
      <c r="E153" s="287">
        <v>9.4</v>
      </c>
      <c r="F153" s="296"/>
      <c r="G153" s="288">
        <v>95</v>
      </c>
      <c r="H153" s="289">
        <v>72</v>
      </c>
      <c r="I153" s="288">
        <v>93</v>
      </c>
      <c r="J153" s="225">
        <v>1.26</v>
      </c>
      <c r="K153" s="53">
        <v>1.5</v>
      </c>
      <c r="L153" s="59">
        <v>2.5</v>
      </c>
      <c r="M153" s="297">
        <v>11.2</v>
      </c>
    </row>
    <row r="154" spans="1:13" ht="16" thickBot="1" x14ac:dyDescent="0.4">
      <c r="A154" s="298" t="s">
        <v>35</v>
      </c>
      <c r="B154" s="299">
        <f t="shared" ref="B154:M154" si="27">SUM(B144:B153)</f>
        <v>225.2</v>
      </c>
      <c r="C154" s="299">
        <f t="shared" si="27"/>
        <v>124.80000000000001</v>
      </c>
      <c r="D154" s="299">
        <f t="shared" si="27"/>
        <v>175.00000000000003</v>
      </c>
      <c r="E154" s="299">
        <f t="shared" si="27"/>
        <v>77.800000000000011</v>
      </c>
      <c r="F154" s="300">
        <f t="shared" si="27"/>
        <v>1.1000000000000001</v>
      </c>
      <c r="G154" s="301">
        <f t="shared" si="27"/>
        <v>886</v>
      </c>
      <c r="H154" s="302">
        <f t="shared" si="27"/>
        <v>700</v>
      </c>
      <c r="I154" s="303">
        <f t="shared" si="27"/>
        <v>864</v>
      </c>
      <c r="J154" s="304">
        <f t="shared" si="27"/>
        <v>16.399999999999999</v>
      </c>
      <c r="K154" s="299">
        <f t="shared" si="27"/>
        <v>18.7</v>
      </c>
      <c r="L154" s="305">
        <f t="shared" si="27"/>
        <v>31.5</v>
      </c>
      <c r="M154" s="305">
        <f t="shared" si="27"/>
        <v>88</v>
      </c>
    </row>
    <row r="155" spans="1:13" ht="15.5" x14ac:dyDescent="0.35">
      <c r="A155" s="306">
        <v>11</v>
      </c>
      <c r="B155" s="285">
        <v>22</v>
      </c>
      <c r="C155" s="286">
        <v>14.8</v>
      </c>
      <c r="D155" s="277">
        <f t="shared" ref="D155:D164" si="28">(B155+C155)/2</f>
        <v>18.399999999999999</v>
      </c>
      <c r="E155" s="287">
        <v>8.1999999999999993</v>
      </c>
      <c r="F155" s="279"/>
      <c r="G155" s="288">
        <v>90</v>
      </c>
      <c r="H155" s="289">
        <v>62</v>
      </c>
      <c r="I155" s="295">
        <v>87</v>
      </c>
      <c r="J155" s="225">
        <v>2.11</v>
      </c>
      <c r="K155" s="53">
        <v>2.5</v>
      </c>
      <c r="L155" s="59">
        <v>4</v>
      </c>
      <c r="M155" s="307">
        <v>10.5</v>
      </c>
    </row>
    <row r="156" spans="1:13" ht="15.5" x14ac:dyDescent="0.35">
      <c r="A156" s="209">
        <v>12</v>
      </c>
      <c r="B156" s="285">
        <v>21</v>
      </c>
      <c r="C156" s="286">
        <v>15.6</v>
      </c>
      <c r="D156" s="277">
        <f t="shared" si="28"/>
        <v>18.3</v>
      </c>
      <c r="E156" s="294">
        <v>9.8000000000000007</v>
      </c>
      <c r="F156" s="279"/>
      <c r="G156" s="288">
        <v>90</v>
      </c>
      <c r="H156" s="289">
        <v>70</v>
      </c>
      <c r="I156" s="295">
        <v>87</v>
      </c>
      <c r="J156" s="225">
        <v>2.06</v>
      </c>
      <c r="K156" s="42">
        <v>2.6</v>
      </c>
      <c r="L156" s="59">
        <v>4.5</v>
      </c>
      <c r="M156" s="291">
        <v>10.3</v>
      </c>
    </row>
    <row r="157" spans="1:13" ht="15.5" x14ac:dyDescent="0.35">
      <c r="A157" s="209">
        <v>13</v>
      </c>
      <c r="B157" s="285">
        <v>20.8</v>
      </c>
      <c r="C157" s="286">
        <v>9.6</v>
      </c>
      <c r="D157" s="277">
        <f t="shared" si="28"/>
        <v>15.2</v>
      </c>
      <c r="E157" s="294">
        <v>4.4000000000000004</v>
      </c>
      <c r="F157" s="279"/>
      <c r="G157" s="288">
        <v>91</v>
      </c>
      <c r="H157" s="289">
        <v>75</v>
      </c>
      <c r="I157" s="288">
        <v>89</v>
      </c>
      <c r="J157" s="225">
        <v>1.81</v>
      </c>
      <c r="K157" s="42">
        <v>2.2999999999999998</v>
      </c>
      <c r="L157" s="59">
        <v>4</v>
      </c>
      <c r="M157" s="293">
        <v>10</v>
      </c>
    </row>
    <row r="158" spans="1:13" ht="15.5" x14ac:dyDescent="0.35">
      <c r="A158" s="209">
        <v>14</v>
      </c>
      <c r="B158" s="285">
        <v>20</v>
      </c>
      <c r="C158" s="286">
        <v>15.8</v>
      </c>
      <c r="D158" s="277">
        <f t="shared" si="28"/>
        <v>17.899999999999999</v>
      </c>
      <c r="E158" s="294">
        <v>8.6</v>
      </c>
      <c r="F158" s="279"/>
      <c r="G158" s="288">
        <v>89</v>
      </c>
      <c r="H158" s="289">
        <v>81</v>
      </c>
      <c r="I158" s="295">
        <v>87</v>
      </c>
      <c r="J158" s="225">
        <v>1.44</v>
      </c>
      <c r="K158" s="42">
        <v>1.9</v>
      </c>
      <c r="L158" s="59">
        <v>3</v>
      </c>
      <c r="M158" s="291">
        <v>7.3</v>
      </c>
    </row>
    <row r="159" spans="1:13" ht="15.5" x14ac:dyDescent="0.35">
      <c r="A159" s="209">
        <v>15</v>
      </c>
      <c r="B159" s="285">
        <v>23.2</v>
      </c>
      <c r="C159" s="286">
        <v>9</v>
      </c>
      <c r="D159" s="277">
        <f t="shared" si="28"/>
        <v>16.100000000000001</v>
      </c>
      <c r="E159" s="294">
        <v>5.8</v>
      </c>
      <c r="F159" s="279"/>
      <c r="G159" s="288">
        <v>88</v>
      </c>
      <c r="H159" s="289">
        <v>68</v>
      </c>
      <c r="I159" s="290">
        <v>86</v>
      </c>
      <c r="J159" s="225">
        <v>1.39</v>
      </c>
      <c r="K159" s="42">
        <v>1.6</v>
      </c>
      <c r="L159" s="59">
        <v>2.5</v>
      </c>
      <c r="M159" s="291">
        <v>7.7</v>
      </c>
    </row>
    <row r="160" spans="1:13" ht="15.5" x14ac:dyDescent="0.35">
      <c r="A160" s="209">
        <v>16</v>
      </c>
      <c r="B160" s="285">
        <v>30.4</v>
      </c>
      <c r="C160" s="286">
        <v>17.600000000000001</v>
      </c>
      <c r="D160" s="277">
        <f t="shared" si="28"/>
        <v>24</v>
      </c>
      <c r="E160" s="294">
        <v>6.4</v>
      </c>
      <c r="F160" s="279"/>
      <c r="G160" s="288">
        <v>89</v>
      </c>
      <c r="H160" s="289">
        <v>48</v>
      </c>
      <c r="I160" s="295">
        <v>87</v>
      </c>
      <c r="J160" s="225">
        <v>1.61</v>
      </c>
      <c r="K160" s="42">
        <v>1.4</v>
      </c>
      <c r="L160" s="59">
        <v>2.5</v>
      </c>
      <c r="M160" s="291">
        <v>7.2</v>
      </c>
    </row>
    <row r="161" spans="1:13" ht="15.5" x14ac:dyDescent="0.35">
      <c r="A161" s="223">
        <v>17</v>
      </c>
      <c r="B161" s="285">
        <v>29.6</v>
      </c>
      <c r="C161" s="286">
        <v>19.399999999999999</v>
      </c>
      <c r="D161" s="277">
        <f t="shared" si="28"/>
        <v>24.5</v>
      </c>
      <c r="E161" s="294">
        <v>9.4</v>
      </c>
      <c r="F161" s="279"/>
      <c r="G161" s="288">
        <v>91</v>
      </c>
      <c r="H161" s="289">
        <v>52</v>
      </c>
      <c r="I161" s="295">
        <v>86</v>
      </c>
      <c r="J161" s="225">
        <v>1.6</v>
      </c>
      <c r="K161" s="42">
        <v>1.2</v>
      </c>
      <c r="L161" s="59">
        <v>2</v>
      </c>
      <c r="M161" s="291">
        <v>7.5</v>
      </c>
    </row>
    <row r="162" spans="1:13" ht="15.5" x14ac:dyDescent="0.35">
      <c r="A162" s="223">
        <v>18</v>
      </c>
      <c r="B162" s="285">
        <v>25.8</v>
      </c>
      <c r="C162" s="308">
        <v>17.399999999999999</v>
      </c>
      <c r="D162" s="277">
        <f t="shared" si="28"/>
        <v>21.6</v>
      </c>
      <c r="E162" s="287">
        <v>12.6</v>
      </c>
      <c r="F162" s="279">
        <v>1.5</v>
      </c>
      <c r="G162" s="292">
        <v>91</v>
      </c>
      <c r="H162" s="309">
        <v>76</v>
      </c>
      <c r="I162" s="310">
        <v>88</v>
      </c>
      <c r="J162" s="225">
        <v>1.5</v>
      </c>
      <c r="K162" s="42">
        <v>1.5</v>
      </c>
      <c r="L162" s="59">
        <v>2.5</v>
      </c>
      <c r="M162" s="291">
        <v>4.7</v>
      </c>
    </row>
    <row r="163" spans="1:13" ht="15.5" x14ac:dyDescent="0.35">
      <c r="A163" s="223">
        <v>19</v>
      </c>
      <c r="B163" s="285">
        <v>22.2</v>
      </c>
      <c r="C163" s="286">
        <v>11.4</v>
      </c>
      <c r="D163" s="277">
        <f t="shared" si="28"/>
        <v>16.8</v>
      </c>
      <c r="E163" s="294">
        <v>11.2</v>
      </c>
      <c r="F163" s="279"/>
      <c r="G163" s="288">
        <v>89</v>
      </c>
      <c r="H163" s="289">
        <v>69</v>
      </c>
      <c r="I163" s="288">
        <v>86</v>
      </c>
      <c r="J163" s="225">
        <v>2.52</v>
      </c>
      <c r="K163" s="42">
        <v>3</v>
      </c>
      <c r="L163" s="59">
        <v>5</v>
      </c>
      <c r="M163" s="291">
        <v>6.8</v>
      </c>
    </row>
    <row r="164" spans="1:13" ht="16" thickBot="1" x14ac:dyDescent="0.4">
      <c r="A164" s="311">
        <v>20</v>
      </c>
      <c r="B164" s="285">
        <v>17</v>
      </c>
      <c r="C164" s="286">
        <v>8.1999999999999993</v>
      </c>
      <c r="D164" s="277">
        <f t="shared" si="28"/>
        <v>12.6</v>
      </c>
      <c r="E164" s="294">
        <v>9</v>
      </c>
      <c r="F164" s="296">
        <v>2.2000000000000002</v>
      </c>
      <c r="G164" s="312">
        <v>90</v>
      </c>
      <c r="H164" s="313">
        <v>74</v>
      </c>
      <c r="I164" s="312">
        <v>88</v>
      </c>
      <c r="J164" s="225">
        <v>0.69</v>
      </c>
      <c r="K164" s="42">
        <v>1.1000000000000001</v>
      </c>
      <c r="L164" s="59">
        <v>2</v>
      </c>
      <c r="M164" s="297">
        <v>0</v>
      </c>
    </row>
    <row r="165" spans="1:13" ht="16" thickBot="1" x14ac:dyDescent="0.4">
      <c r="A165" s="298" t="s">
        <v>35</v>
      </c>
      <c r="B165" s="299">
        <f t="shared" ref="B165:M165" si="29">SUM(B155:B164)</f>
        <v>232</v>
      </c>
      <c r="C165" s="299">
        <f t="shared" si="29"/>
        <v>138.80000000000001</v>
      </c>
      <c r="D165" s="305">
        <f t="shared" si="29"/>
        <v>185.4</v>
      </c>
      <c r="E165" s="299">
        <f t="shared" si="29"/>
        <v>85.399999999999991</v>
      </c>
      <c r="F165" s="300">
        <f t="shared" si="29"/>
        <v>3.7</v>
      </c>
      <c r="G165" s="301">
        <f t="shared" si="29"/>
        <v>898</v>
      </c>
      <c r="H165" s="302">
        <f t="shared" si="29"/>
        <v>675</v>
      </c>
      <c r="I165" s="303">
        <f t="shared" si="29"/>
        <v>871</v>
      </c>
      <c r="J165" s="304">
        <f t="shared" si="29"/>
        <v>16.73</v>
      </c>
      <c r="K165" s="299">
        <f t="shared" si="29"/>
        <v>19.100000000000001</v>
      </c>
      <c r="L165" s="314">
        <f t="shared" si="29"/>
        <v>32</v>
      </c>
      <c r="M165" s="315">
        <f t="shared" si="29"/>
        <v>72</v>
      </c>
    </row>
    <row r="166" spans="1:13" ht="15.5" x14ac:dyDescent="0.35">
      <c r="A166" s="316">
        <v>21</v>
      </c>
      <c r="B166" s="285">
        <v>16.8</v>
      </c>
      <c r="C166" s="286">
        <v>11.2</v>
      </c>
      <c r="D166" s="277">
        <f t="shared" ref="D166:D175" si="30">(B166+C166)/2</f>
        <v>14</v>
      </c>
      <c r="E166" s="294">
        <v>10.4</v>
      </c>
      <c r="F166" s="279">
        <v>3</v>
      </c>
      <c r="G166" s="288">
        <v>93</v>
      </c>
      <c r="H166" s="289">
        <v>76</v>
      </c>
      <c r="I166" s="288">
        <v>90</v>
      </c>
      <c r="J166" s="225">
        <v>1</v>
      </c>
      <c r="K166" s="42">
        <v>1.5</v>
      </c>
      <c r="L166" s="59">
        <v>2.5</v>
      </c>
      <c r="M166" s="307">
        <v>0</v>
      </c>
    </row>
    <row r="167" spans="1:13" ht="15.5" x14ac:dyDescent="0.35">
      <c r="A167" s="223">
        <v>22</v>
      </c>
      <c r="B167" s="285">
        <v>21.8</v>
      </c>
      <c r="C167" s="286">
        <v>16</v>
      </c>
      <c r="D167" s="277">
        <f t="shared" si="30"/>
        <v>18.899999999999999</v>
      </c>
      <c r="E167" s="287">
        <v>9.6</v>
      </c>
      <c r="F167" s="279">
        <v>8.1</v>
      </c>
      <c r="G167" s="292">
        <v>94</v>
      </c>
      <c r="H167" s="289">
        <v>75</v>
      </c>
      <c r="I167" s="288">
        <v>90</v>
      </c>
      <c r="J167" s="225">
        <v>1.02</v>
      </c>
      <c r="K167" s="42">
        <v>1.2</v>
      </c>
      <c r="L167" s="59">
        <v>2</v>
      </c>
      <c r="M167" s="291">
        <v>7</v>
      </c>
    </row>
    <row r="168" spans="1:13" ht="15.5" x14ac:dyDescent="0.35">
      <c r="A168" s="223">
        <v>23</v>
      </c>
      <c r="B168" s="285">
        <v>21.4</v>
      </c>
      <c r="C168" s="286">
        <v>13.4</v>
      </c>
      <c r="D168" s="277">
        <f t="shared" si="30"/>
        <v>17.399999999999999</v>
      </c>
      <c r="E168" s="294">
        <v>10.8</v>
      </c>
      <c r="F168" s="279"/>
      <c r="G168" s="288">
        <v>90</v>
      </c>
      <c r="H168" s="289">
        <v>76</v>
      </c>
      <c r="I168" s="288">
        <v>87</v>
      </c>
      <c r="J168" s="225">
        <v>1.42</v>
      </c>
      <c r="K168" s="42">
        <v>1.6</v>
      </c>
      <c r="L168" s="59">
        <v>2.5</v>
      </c>
      <c r="M168" s="291">
        <v>7.1</v>
      </c>
    </row>
    <row r="169" spans="1:13" ht="15.5" x14ac:dyDescent="0.35">
      <c r="A169" s="223">
        <v>24</v>
      </c>
      <c r="B169" s="285">
        <v>21.2</v>
      </c>
      <c r="C169" s="286">
        <v>12.8</v>
      </c>
      <c r="D169" s="277">
        <f t="shared" si="30"/>
        <v>17</v>
      </c>
      <c r="E169" s="294">
        <v>9.6</v>
      </c>
      <c r="F169" s="279"/>
      <c r="G169" s="288">
        <v>92</v>
      </c>
      <c r="H169" s="289">
        <v>70</v>
      </c>
      <c r="I169" s="288">
        <v>91</v>
      </c>
      <c r="J169" s="225">
        <v>1.39</v>
      </c>
      <c r="K169" s="42">
        <v>1.7</v>
      </c>
      <c r="L169" s="59">
        <v>3</v>
      </c>
      <c r="M169" s="291">
        <v>6</v>
      </c>
    </row>
    <row r="170" spans="1:13" ht="15.5" x14ac:dyDescent="0.35">
      <c r="A170" s="223">
        <v>25</v>
      </c>
      <c r="B170" s="285">
        <v>22.6</v>
      </c>
      <c r="C170" s="286">
        <v>13.6</v>
      </c>
      <c r="D170" s="277">
        <f t="shared" si="30"/>
        <v>18.100000000000001</v>
      </c>
      <c r="E170" s="287">
        <v>5.4</v>
      </c>
      <c r="F170" s="279"/>
      <c r="G170" s="288">
        <v>90</v>
      </c>
      <c r="H170" s="289">
        <v>68</v>
      </c>
      <c r="I170" s="288">
        <v>87</v>
      </c>
      <c r="J170" s="225">
        <v>1.4</v>
      </c>
      <c r="K170" s="42">
        <v>1.6</v>
      </c>
      <c r="L170" s="59">
        <v>2.5</v>
      </c>
      <c r="M170" s="291">
        <v>6.2</v>
      </c>
    </row>
    <row r="171" spans="1:13" ht="15.5" x14ac:dyDescent="0.35">
      <c r="A171" s="223">
        <v>26</v>
      </c>
      <c r="B171" s="285">
        <v>22.2</v>
      </c>
      <c r="C171" s="286">
        <v>14.6</v>
      </c>
      <c r="D171" s="277">
        <f t="shared" si="30"/>
        <v>18.399999999999999</v>
      </c>
      <c r="E171" s="287">
        <v>8.6</v>
      </c>
      <c r="F171" s="279"/>
      <c r="G171" s="292">
        <v>90</v>
      </c>
      <c r="H171" s="289">
        <v>72</v>
      </c>
      <c r="I171" s="288">
        <v>89</v>
      </c>
      <c r="J171" s="225">
        <v>1.96</v>
      </c>
      <c r="K171" s="42">
        <v>2.2999999999999998</v>
      </c>
      <c r="L171" s="59">
        <v>4</v>
      </c>
      <c r="M171" s="291">
        <v>6.3</v>
      </c>
    </row>
    <row r="172" spans="1:13" ht="15.5" x14ac:dyDescent="0.35">
      <c r="A172" s="223">
        <v>27</v>
      </c>
      <c r="B172" s="285">
        <v>20.8</v>
      </c>
      <c r="C172" s="286">
        <v>11.4</v>
      </c>
      <c r="D172" s="277">
        <f t="shared" si="30"/>
        <v>16.100000000000001</v>
      </c>
      <c r="E172" s="287">
        <v>9.1999999999999993</v>
      </c>
      <c r="F172" s="279">
        <v>0.4</v>
      </c>
      <c r="G172" s="288">
        <v>91</v>
      </c>
      <c r="H172" s="289">
        <v>72</v>
      </c>
      <c r="I172" s="288">
        <v>87</v>
      </c>
      <c r="J172" s="225">
        <v>2.17</v>
      </c>
      <c r="K172" s="42">
        <v>2.7</v>
      </c>
      <c r="L172" s="59">
        <v>4.5</v>
      </c>
      <c r="M172" s="291">
        <v>5.2</v>
      </c>
    </row>
    <row r="173" spans="1:13" ht="15.5" x14ac:dyDescent="0.35">
      <c r="A173" s="223">
        <v>28</v>
      </c>
      <c r="B173" s="285">
        <v>18.600000000000001</v>
      </c>
      <c r="C173" s="286">
        <v>13.2</v>
      </c>
      <c r="D173" s="277">
        <f t="shared" si="30"/>
        <v>15.9</v>
      </c>
      <c r="E173" s="287">
        <v>10</v>
      </c>
      <c r="F173" s="279"/>
      <c r="G173" s="288">
        <v>90</v>
      </c>
      <c r="H173" s="289">
        <v>76</v>
      </c>
      <c r="I173" s="288">
        <v>88</v>
      </c>
      <c r="J173" s="225">
        <v>1.1299999999999999</v>
      </c>
      <c r="K173" s="42">
        <v>1.6</v>
      </c>
      <c r="L173" s="59">
        <v>2.5</v>
      </c>
      <c r="M173" s="291">
        <v>0.3</v>
      </c>
    </row>
    <row r="174" spans="1:13" ht="15.5" x14ac:dyDescent="0.35">
      <c r="A174" s="223">
        <v>29</v>
      </c>
      <c r="B174" s="285">
        <v>19</v>
      </c>
      <c r="C174" s="317">
        <v>13.4</v>
      </c>
      <c r="D174" s="277">
        <f t="shared" si="30"/>
        <v>16.2</v>
      </c>
      <c r="E174" s="287">
        <v>9.8000000000000007</v>
      </c>
      <c r="F174" s="279">
        <v>4.58</v>
      </c>
      <c r="G174" s="292">
        <v>88</v>
      </c>
      <c r="H174" s="289">
        <v>75</v>
      </c>
      <c r="I174" s="288">
        <v>87</v>
      </c>
      <c r="J174" s="225">
        <v>1.75</v>
      </c>
      <c r="K174" s="42">
        <v>2.4</v>
      </c>
      <c r="L174" s="59">
        <v>4</v>
      </c>
      <c r="M174" s="291">
        <v>4.9000000000000004</v>
      </c>
    </row>
    <row r="175" spans="1:13" ht="15.5" x14ac:dyDescent="0.35">
      <c r="A175" s="223">
        <v>30</v>
      </c>
      <c r="B175" s="285">
        <v>20.2</v>
      </c>
      <c r="C175" s="286">
        <v>14.8</v>
      </c>
      <c r="D175" s="277">
        <f t="shared" si="30"/>
        <v>17.5</v>
      </c>
      <c r="E175" s="287">
        <v>6.8</v>
      </c>
      <c r="F175" s="279">
        <v>1.3</v>
      </c>
      <c r="G175" s="292">
        <v>90</v>
      </c>
      <c r="H175" s="289">
        <v>77</v>
      </c>
      <c r="I175" s="288">
        <v>89</v>
      </c>
      <c r="J175" s="225">
        <v>2.25</v>
      </c>
      <c r="K175" s="42">
        <v>2.9</v>
      </c>
      <c r="L175" s="59">
        <v>5</v>
      </c>
      <c r="M175" s="291">
        <v>11</v>
      </c>
    </row>
    <row r="176" spans="1:13" ht="16" thickBot="1" x14ac:dyDescent="0.4">
      <c r="A176" s="311">
        <v>31</v>
      </c>
      <c r="B176" s="318"/>
      <c r="C176" s="319"/>
      <c r="D176" s="320"/>
      <c r="E176" s="321"/>
      <c r="F176" s="322"/>
      <c r="G176" s="323"/>
      <c r="H176" s="324"/>
      <c r="I176" s="325"/>
      <c r="J176" s="326"/>
      <c r="K176" s="318"/>
      <c r="L176" s="327"/>
      <c r="M176" s="328"/>
    </row>
    <row r="177" spans="1:13" ht="16" thickBot="1" x14ac:dyDescent="0.4">
      <c r="A177" s="329" t="s">
        <v>35</v>
      </c>
      <c r="B177" s="245">
        <f t="shared" ref="B177:M177" si="31">SUM(B166:B176)</f>
        <v>204.6</v>
      </c>
      <c r="C177" s="245">
        <f t="shared" si="31"/>
        <v>134.4</v>
      </c>
      <c r="D177" s="245">
        <f t="shared" si="31"/>
        <v>169.5</v>
      </c>
      <c r="E177" s="245">
        <f t="shared" si="31"/>
        <v>90.199999999999989</v>
      </c>
      <c r="F177" s="330">
        <f t="shared" si="31"/>
        <v>17.38</v>
      </c>
      <c r="G177" s="331">
        <f t="shared" si="31"/>
        <v>908</v>
      </c>
      <c r="H177" s="332">
        <f t="shared" si="31"/>
        <v>737</v>
      </c>
      <c r="I177" s="333">
        <f t="shared" si="31"/>
        <v>885</v>
      </c>
      <c r="J177" s="244">
        <f t="shared" si="31"/>
        <v>15.490000000000002</v>
      </c>
      <c r="K177" s="245">
        <f t="shared" si="31"/>
        <v>19.5</v>
      </c>
      <c r="L177" s="334">
        <f t="shared" si="31"/>
        <v>32.5</v>
      </c>
      <c r="M177" s="334">
        <f t="shared" si="31"/>
        <v>54</v>
      </c>
    </row>
    <row r="178" spans="1:13" ht="16" thickBot="1" x14ac:dyDescent="0.4">
      <c r="A178" s="335" t="s">
        <v>36</v>
      </c>
      <c r="B178" s="249">
        <f>B177+B165+B154</f>
        <v>661.8</v>
      </c>
      <c r="C178" s="249">
        <f t="shared" ref="C178:M178" si="32">C177+C165+C154</f>
        <v>398.00000000000006</v>
      </c>
      <c r="D178" s="249">
        <f t="shared" si="32"/>
        <v>529.9</v>
      </c>
      <c r="E178" s="249">
        <f t="shared" si="32"/>
        <v>253.39999999999998</v>
      </c>
      <c r="F178" s="336">
        <f t="shared" si="32"/>
        <v>22.18</v>
      </c>
      <c r="G178" s="257">
        <f t="shared" si="32"/>
        <v>2692</v>
      </c>
      <c r="H178" s="256">
        <f t="shared" si="32"/>
        <v>2112</v>
      </c>
      <c r="I178" s="257">
        <f t="shared" si="32"/>
        <v>2620</v>
      </c>
      <c r="J178" s="336">
        <f t="shared" si="32"/>
        <v>48.62</v>
      </c>
      <c r="K178" s="249">
        <f t="shared" si="32"/>
        <v>57.3</v>
      </c>
      <c r="L178" s="257">
        <f t="shared" si="32"/>
        <v>96</v>
      </c>
      <c r="M178" s="257">
        <f t="shared" si="32"/>
        <v>214</v>
      </c>
    </row>
    <row r="179" spans="1:13" ht="16" thickBot="1" x14ac:dyDescent="0.4">
      <c r="A179" s="337" t="s">
        <v>19</v>
      </c>
      <c r="B179" s="259">
        <f>B178/30</f>
        <v>22.06</v>
      </c>
      <c r="C179" s="259">
        <f t="shared" ref="C179:E179" si="33">C178/30</f>
        <v>13.266666666666669</v>
      </c>
      <c r="D179" s="259">
        <f t="shared" si="33"/>
        <v>17.663333333333334</v>
      </c>
      <c r="E179" s="259">
        <f t="shared" si="33"/>
        <v>8.4466666666666654</v>
      </c>
      <c r="F179" s="338" t="s">
        <v>44</v>
      </c>
      <c r="G179" s="339">
        <f>G178/30</f>
        <v>89.733333333333334</v>
      </c>
      <c r="H179" s="340">
        <f t="shared" ref="H179:J179" si="34">H178/30</f>
        <v>70.400000000000006</v>
      </c>
      <c r="I179" s="339">
        <f t="shared" si="34"/>
        <v>87.333333333333329</v>
      </c>
      <c r="J179" s="341">
        <f t="shared" si="34"/>
        <v>1.6206666666666665</v>
      </c>
      <c r="K179" s="267">
        <v>0</v>
      </c>
      <c r="L179" s="342">
        <v>0</v>
      </c>
      <c r="M179" s="343">
        <v>0</v>
      </c>
    </row>
    <row r="180" spans="1:13" ht="15" thickBot="1" x14ac:dyDescent="0.4">
      <c r="F180" s="4"/>
      <c r="G180" s="4"/>
      <c r="H180" s="4"/>
      <c r="I180" s="4"/>
      <c r="J180" s="4"/>
      <c r="K180" s="4"/>
      <c r="L180" s="4"/>
      <c r="M180" s="4"/>
    </row>
    <row r="181" spans="1:13" ht="16" thickBot="1" x14ac:dyDescent="0.4">
      <c r="A181" s="1" t="s">
        <v>0</v>
      </c>
      <c r="B181" s="2"/>
      <c r="C181" s="2"/>
      <c r="D181" s="2"/>
      <c r="E181" s="2"/>
      <c r="F181" s="3"/>
      <c r="G181" s="4"/>
      <c r="H181" s="4"/>
      <c r="I181" s="4"/>
      <c r="J181" s="4"/>
      <c r="K181" s="4"/>
      <c r="L181" s="4"/>
      <c r="M181" s="4"/>
    </row>
    <row r="182" spans="1:13" ht="15.5" x14ac:dyDescent="0.35">
      <c r="A182" s="5" t="s">
        <v>2</v>
      </c>
      <c r="B182" s="6"/>
      <c r="C182" s="6"/>
      <c r="D182" s="6"/>
      <c r="E182" s="6"/>
      <c r="F182" s="7"/>
      <c r="G182" s="4"/>
      <c r="H182" s="4"/>
      <c r="I182" s="1" t="s">
        <v>3</v>
      </c>
      <c r="J182" s="1"/>
      <c r="K182" s="2"/>
      <c r="L182" s="2"/>
      <c r="M182" s="8"/>
    </row>
    <row r="183" spans="1:13" ht="15.5" x14ac:dyDescent="0.35">
      <c r="A183" s="5" t="s">
        <v>4</v>
      </c>
      <c r="B183" s="6"/>
      <c r="C183" s="6"/>
      <c r="D183" s="6"/>
      <c r="E183" s="6"/>
      <c r="F183" s="7"/>
      <c r="G183" s="4"/>
      <c r="H183" s="4"/>
      <c r="I183" s="5" t="s">
        <v>5</v>
      </c>
      <c r="J183" s="5"/>
      <c r="K183" s="6"/>
      <c r="L183" s="9"/>
      <c r="M183" s="344"/>
    </row>
    <row r="184" spans="1:13" ht="16" thickBot="1" x14ac:dyDescent="0.4">
      <c r="A184" s="11" t="s">
        <v>6</v>
      </c>
      <c r="B184" s="12"/>
      <c r="C184" s="12"/>
      <c r="D184" s="12"/>
      <c r="E184" s="12"/>
      <c r="F184" s="13"/>
      <c r="G184" s="4"/>
      <c r="H184" s="4"/>
      <c r="I184" s="11" t="s">
        <v>7</v>
      </c>
      <c r="J184" s="11"/>
      <c r="K184" s="12"/>
      <c r="L184" s="345" t="s">
        <v>45</v>
      </c>
      <c r="M184" s="346"/>
    </row>
    <row r="185" spans="1:13" ht="26" thickBot="1" x14ac:dyDescent="0.65">
      <c r="A185" s="17" t="s">
        <v>39</v>
      </c>
      <c r="B185" s="17"/>
      <c r="C185" s="17"/>
      <c r="D185" s="17"/>
      <c r="E185" s="17"/>
      <c r="F185" s="17"/>
      <c r="G185" s="272"/>
      <c r="H185" s="272"/>
      <c r="I185" s="272"/>
      <c r="J185" s="272"/>
      <c r="K185" s="17"/>
      <c r="L185" s="17"/>
      <c r="M185" s="17"/>
    </row>
    <row r="186" spans="1:13" ht="18" customHeight="1" thickBot="1" x14ac:dyDescent="0.4">
      <c r="A186" s="915" t="s">
        <v>10</v>
      </c>
      <c r="B186" s="918" t="s">
        <v>11</v>
      </c>
      <c r="C186" s="919"/>
      <c r="D186" s="919"/>
      <c r="E186" s="920"/>
      <c r="F186" s="129" t="s">
        <v>12</v>
      </c>
      <c r="G186" s="927" t="s">
        <v>13</v>
      </c>
      <c r="H186" s="928"/>
      <c r="I186" s="929"/>
      <c r="J186" s="132" t="s">
        <v>14</v>
      </c>
      <c r="K186" s="918" t="s">
        <v>15</v>
      </c>
      <c r="L186" s="920"/>
      <c r="M186" s="132" t="s">
        <v>16</v>
      </c>
    </row>
    <row r="187" spans="1:13" ht="18" customHeight="1" thickBot="1" x14ac:dyDescent="0.4">
      <c r="A187" s="916"/>
      <c r="B187" s="134" t="s">
        <v>17</v>
      </c>
      <c r="C187" s="135" t="s">
        <v>18</v>
      </c>
      <c r="D187" s="135" t="s">
        <v>19</v>
      </c>
      <c r="E187" s="136" t="s">
        <v>18</v>
      </c>
      <c r="F187" s="138" t="s">
        <v>20</v>
      </c>
      <c r="G187" s="930" t="s">
        <v>21</v>
      </c>
      <c r="H187" s="931"/>
      <c r="I187" s="932"/>
      <c r="J187" s="352" t="s">
        <v>22</v>
      </c>
      <c r="K187" s="137" t="s">
        <v>23</v>
      </c>
      <c r="L187" s="139"/>
      <c r="M187" s="140" t="s">
        <v>24</v>
      </c>
    </row>
    <row r="188" spans="1:13" ht="18" customHeight="1" thickBot="1" x14ac:dyDescent="0.4">
      <c r="A188" s="916"/>
      <c r="B188" s="353" t="s">
        <v>25</v>
      </c>
      <c r="C188" s="354" t="s">
        <v>25</v>
      </c>
      <c r="D188" s="354"/>
      <c r="E188" s="355" t="s">
        <v>26</v>
      </c>
      <c r="F188" s="356" t="s">
        <v>27</v>
      </c>
      <c r="G188" s="357" t="s">
        <v>28</v>
      </c>
      <c r="H188" s="354" t="s">
        <v>29</v>
      </c>
      <c r="I188" s="355" t="s">
        <v>30</v>
      </c>
      <c r="J188" s="358" t="s">
        <v>31</v>
      </c>
      <c r="K188" s="359" t="s">
        <v>32</v>
      </c>
      <c r="L188" s="360" t="s">
        <v>33</v>
      </c>
      <c r="M188" s="203" t="s">
        <v>34</v>
      </c>
    </row>
    <row r="189" spans="1:13" ht="18" customHeight="1" x14ac:dyDescent="0.35">
      <c r="A189" s="204">
        <v>1</v>
      </c>
      <c r="B189" s="361">
        <v>22</v>
      </c>
      <c r="C189" s="362">
        <v>9.8000000000000007</v>
      </c>
      <c r="D189" s="363">
        <f>(B189+C189)/2</f>
        <v>15.9</v>
      </c>
      <c r="E189" s="364">
        <v>7</v>
      </c>
      <c r="F189" s="361"/>
      <c r="G189" s="365">
        <v>86</v>
      </c>
      <c r="H189" s="46">
        <v>70</v>
      </c>
      <c r="I189" s="366">
        <v>83</v>
      </c>
      <c r="J189" s="208">
        <v>2.75</v>
      </c>
      <c r="K189" s="364">
        <v>3.3</v>
      </c>
      <c r="L189" s="205">
        <v>5.5</v>
      </c>
      <c r="M189" s="205">
        <v>9.5</v>
      </c>
    </row>
    <row r="190" spans="1:13" ht="18" customHeight="1" x14ac:dyDescent="0.35">
      <c r="A190" s="209">
        <v>2</v>
      </c>
      <c r="B190" s="51">
        <v>18.399999999999999</v>
      </c>
      <c r="C190" s="52">
        <v>10</v>
      </c>
      <c r="D190" s="41">
        <f t="shared" ref="D190:D198" si="35">(B190+C190)/2</f>
        <v>14.2</v>
      </c>
      <c r="E190" s="53">
        <v>7</v>
      </c>
      <c r="F190" s="51"/>
      <c r="G190" s="213">
        <v>88</v>
      </c>
      <c r="H190" s="57">
        <v>78</v>
      </c>
      <c r="I190" s="211">
        <v>85</v>
      </c>
      <c r="J190" s="212">
        <v>1.54</v>
      </c>
      <c r="K190" s="53">
        <v>2.2000000000000002</v>
      </c>
      <c r="L190" s="59">
        <v>3.5</v>
      </c>
      <c r="M190" s="59">
        <v>9.9</v>
      </c>
    </row>
    <row r="191" spans="1:13" ht="18" customHeight="1" x14ac:dyDescent="0.35">
      <c r="A191" s="209">
        <v>3</v>
      </c>
      <c r="B191" s="51">
        <v>18.8</v>
      </c>
      <c r="C191" s="60">
        <v>9</v>
      </c>
      <c r="D191" s="41">
        <f t="shared" si="35"/>
        <v>13.9</v>
      </c>
      <c r="E191" s="53">
        <v>8</v>
      </c>
      <c r="F191" s="51"/>
      <c r="G191" s="213">
        <v>90</v>
      </c>
      <c r="H191" s="57">
        <v>70</v>
      </c>
      <c r="I191" s="211">
        <v>89</v>
      </c>
      <c r="J191" s="212">
        <v>1.38</v>
      </c>
      <c r="K191" s="53">
        <v>1.9</v>
      </c>
      <c r="L191" s="59">
        <v>3</v>
      </c>
      <c r="M191" s="59">
        <v>9.6999999999999993</v>
      </c>
    </row>
    <row r="192" spans="1:13" ht="18" customHeight="1" x14ac:dyDescent="0.35">
      <c r="A192" s="209">
        <v>4</v>
      </c>
      <c r="B192" s="51">
        <v>24</v>
      </c>
      <c r="C192" s="60">
        <v>8</v>
      </c>
      <c r="D192" s="41">
        <f t="shared" si="35"/>
        <v>16</v>
      </c>
      <c r="E192" s="61">
        <v>6.6</v>
      </c>
      <c r="F192" s="51"/>
      <c r="G192" s="213">
        <v>89</v>
      </c>
      <c r="H192" s="57">
        <v>61</v>
      </c>
      <c r="I192" s="211">
        <v>86</v>
      </c>
      <c r="J192" s="212">
        <v>1.28</v>
      </c>
      <c r="K192" s="53">
        <v>1.4</v>
      </c>
      <c r="L192" s="59">
        <v>2.5</v>
      </c>
      <c r="M192" s="59">
        <v>10.5</v>
      </c>
    </row>
    <row r="193" spans="1:13" ht="18" customHeight="1" x14ac:dyDescent="0.35">
      <c r="A193" s="209">
        <v>5</v>
      </c>
      <c r="B193" s="51">
        <v>23.6</v>
      </c>
      <c r="C193" s="52">
        <v>9</v>
      </c>
      <c r="D193" s="41">
        <f t="shared" si="35"/>
        <v>16.3</v>
      </c>
      <c r="E193" s="61">
        <v>7.2</v>
      </c>
      <c r="F193" s="51"/>
      <c r="G193" s="213">
        <v>91</v>
      </c>
      <c r="H193" s="57">
        <v>69</v>
      </c>
      <c r="I193" s="211">
        <v>84</v>
      </c>
      <c r="J193" s="212">
        <v>1.29</v>
      </c>
      <c r="K193" s="53">
        <v>1.2</v>
      </c>
      <c r="L193" s="59">
        <v>2</v>
      </c>
      <c r="M193" s="59">
        <v>8.5</v>
      </c>
    </row>
    <row r="194" spans="1:13" ht="18" customHeight="1" x14ac:dyDescent="0.35">
      <c r="A194" s="209">
        <v>6</v>
      </c>
      <c r="B194" s="51">
        <v>23.4</v>
      </c>
      <c r="C194" s="52">
        <v>9.6</v>
      </c>
      <c r="D194" s="41">
        <f t="shared" si="35"/>
        <v>16.5</v>
      </c>
      <c r="E194" s="61">
        <v>7.6</v>
      </c>
      <c r="F194" s="51"/>
      <c r="G194" s="213">
        <v>85</v>
      </c>
      <c r="H194" s="57">
        <v>70</v>
      </c>
      <c r="I194" s="211">
        <v>83</v>
      </c>
      <c r="J194" s="212">
        <v>1.53</v>
      </c>
      <c r="K194" s="53">
        <v>1.7</v>
      </c>
      <c r="L194" s="59">
        <v>3</v>
      </c>
      <c r="M194" s="59">
        <v>5.6</v>
      </c>
    </row>
    <row r="195" spans="1:13" ht="18" customHeight="1" x14ac:dyDescent="0.35">
      <c r="A195" s="209">
        <v>7</v>
      </c>
      <c r="B195" s="51">
        <v>24.2</v>
      </c>
      <c r="C195" s="52">
        <v>9.1999999999999993</v>
      </c>
      <c r="D195" s="41">
        <f t="shared" si="35"/>
        <v>16.7</v>
      </c>
      <c r="E195" s="61">
        <v>7.8</v>
      </c>
      <c r="F195" s="51"/>
      <c r="G195" s="213">
        <v>88</v>
      </c>
      <c r="H195" s="57">
        <v>65</v>
      </c>
      <c r="I195" s="213">
        <v>82</v>
      </c>
      <c r="J195" s="212">
        <v>2.91</v>
      </c>
      <c r="K195" s="53">
        <v>3.1</v>
      </c>
      <c r="L195" s="59">
        <v>5</v>
      </c>
      <c r="M195" s="59">
        <v>9.4</v>
      </c>
    </row>
    <row r="196" spans="1:13" ht="18" customHeight="1" x14ac:dyDescent="0.35">
      <c r="A196" s="209">
        <v>8</v>
      </c>
      <c r="B196" s="51">
        <v>22.2</v>
      </c>
      <c r="C196" s="52">
        <v>10</v>
      </c>
      <c r="D196" s="41">
        <f t="shared" si="35"/>
        <v>16.100000000000001</v>
      </c>
      <c r="E196" s="61">
        <v>8</v>
      </c>
      <c r="F196" s="51"/>
      <c r="G196" s="213">
        <v>90</v>
      </c>
      <c r="H196" s="57">
        <v>70</v>
      </c>
      <c r="I196" s="211">
        <v>86</v>
      </c>
      <c r="J196" s="212">
        <v>1.01</v>
      </c>
      <c r="K196" s="53">
        <v>1.2</v>
      </c>
      <c r="L196" s="59">
        <v>2</v>
      </c>
      <c r="M196" s="59">
        <v>11.7</v>
      </c>
    </row>
    <row r="197" spans="1:13" ht="18" customHeight="1" x14ac:dyDescent="0.35">
      <c r="A197" s="209">
        <v>9</v>
      </c>
      <c r="B197" s="51">
        <v>19.399999999999999</v>
      </c>
      <c r="C197" s="52">
        <v>12</v>
      </c>
      <c r="D197" s="41">
        <f t="shared" si="35"/>
        <v>15.7</v>
      </c>
      <c r="E197" s="61">
        <v>10.4</v>
      </c>
      <c r="F197" s="51"/>
      <c r="G197" s="213">
        <v>90</v>
      </c>
      <c r="H197" s="57">
        <v>74</v>
      </c>
      <c r="I197" s="211">
        <v>85</v>
      </c>
      <c r="J197" s="212">
        <v>1.78</v>
      </c>
      <c r="K197" s="53">
        <v>2.4</v>
      </c>
      <c r="L197" s="59">
        <v>4</v>
      </c>
      <c r="M197" s="59">
        <v>9.1</v>
      </c>
    </row>
    <row r="198" spans="1:13" ht="18" customHeight="1" thickBot="1" x14ac:dyDescent="0.4">
      <c r="A198" s="214">
        <v>10</v>
      </c>
      <c r="B198" s="51">
        <v>21.8</v>
      </c>
      <c r="C198" s="60">
        <v>12</v>
      </c>
      <c r="D198" s="41">
        <f t="shared" si="35"/>
        <v>16.899999999999999</v>
      </c>
      <c r="E198" s="53">
        <v>10.6</v>
      </c>
      <c r="F198" s="51"/>
      <c r="G198" s="213">
        <v>90</v>
      </c>
      <c r="H198" s="57">
        <v>60</v>
      </c>
      <c r="I198" s="207">
        <v>82</v>
      </c>
      <c r="J198" s="212">
        <v>1.65</v>
      </c>
      <c r="K198" s="53">
        <v>2</v>
      </c>
      <c r="L198" s="59">
        <v>3.5</v>
      </c>
      <c r="M198" s="59">
        <v>9.9</v>
      </c>
    </row>
    <row r="199" spans="1:13" ht="18" customHeight="1" thickBot="1" x14ac:dyDescent="0.4">
      <c r="A199" s="298" t="s">
        <v>35</v>
      </c>
      <c r="B199" s="367">
        <f t="shared" ref="B199:M199" si="36">SUM(B189:B198)</f>
        <v>217.8</v>
      </c>
      <c r="C199" s="367">
        <f t="shared" si="36"/>
        <v>98.6</v>
      </c>
      <c r="D199" s="367">
        <f t="shared" si="36"/>
        <v>158.19999999999999</v>
      </c>
      <c r="E199" s="367">
        <f t="shared" si="36"/>
        <v>80.2</v>
      </c>
      <c r="F199" s="368">
        <f t="shared" si="36"/>
        <v>0</v>
      </c>
      <c r="G199" s="369">
        <f t="shared" si="36"/>
        <v>887</v>
      </c>
      <c r="H199" s="369">
        <f t="shared" si="36"/>
        <v>687</v>
      </c>
      <c r="I199" s="370">
        <f t="shared" si="36"/>
        <v>845</v>
      </c>
      <c r="J199" s="371">
        <f t="shared" si="36"/>
        <v>17.119999999999997</v>
      </c>
      <c r="K199" s="367">
        <f t="shared" si="36"/>
        <v>20.399999999999999</v>
      </c>
      <c r="L199" s="372">
        <f t="shared" si="36"/>
        <v>34</v>
      </c>
      <c r="M199" s="372">
        <f t="shared" si="36"/>
        <v>93.8</v>
      </c>
    </row>
    <row r="200" spans="1:13" ht="18" customHeight="1" x14ac:dyDescent="0.35">
      <c r="A200" s="306">
        <v>11</v>
      </c>
      <c r="B200" s="51">
        <v>22</v>
      </c>
      <c r="C200" s="60">
        <v>13.8</v>
      </c>
      <c r="D200" s="41">
        <f t="shared" ref="D200:D209" si="37">(B200+C200)/2</f>
        <v>17.899999999999999</v>
      </c>
      <c r="E200" s="53">
        <v>11</v>
      </c>
      <c r="F200" s="51"/>
      <c r="G200" s="213">
        <v>87</v>
      </c>
      <c r="H200" s="57">
        <v>75</v>
      </c>
      <c r="I200" s="211">
        <v>84</v>
      </c>
      <c r="J200" s="212">
        <v>1.44</v>
      </c>
      <c r="K200" s="53">
        <v>1.7</v>
      </c>
      <c r="L200" s="59">
        <v>3</v>
      </c>
      <c r="M200" s="59">
        <v>4.3</v>
      </c>
    </row>
    <row r="201" spans="1:13" ht="18" customHeight="1" x14ac:dyDescent="0.35">
      <c r="A201" s="209">
        <v>12</v>
      </c>
      <c r="B201" s="51">
        <v>20.6</v>
      </c>
      <c r="C201" s="52">
        <v>14</v>
      </c>
      <c r="D201" s="41">
        <f t="shared" si="37"/>
        <v>17.3</v>
      </c>
      <c r="E201" s="61">
        <v>11.8</v>
      </c>
      <c r="F201" s="51"/>
      <c r="G201" s="213">
        <v>87</v>
      </c>
      <c r="H201" s="57">
        <v>78</v>
      </c>
      <c r="I201" s="211">
        <v>84</v>
      </c>
      <c r="J201" s="212">
        <v>1.2</v>
      </c>
      <c r="K201" s="42">
        <v>1.5</v>
      </c>
      <c r="L201" s="59">
        <v>2.5</v>
      </c>
      <c r="M201" s="59">
        <v>4.5</v>
      </c>
    </row>
    <row r="202" spans="1:13" ht="18" customHeight="1" x14ac:dyDescent="0.35">
      <c r="A202" s="209">
        <v>13</v>
      </c>
      <c r="B202" s="51">
        <v>25.4</v>
      </c>
      <c r="C202" s="52">
        <v>12.4</v>
      </c>
      <c r="D202" s="41">
        <f t="shared" si="37"/>
        <v>18.899999999999999</v>
      </c>
      <c r="E202" s="61">
        <v>10.199999999999999</v>
      </c>
      <c r="F202" s="51"/>
      <c r="G202" s="213">
        <v>87</v>
      </c>
      <c r="H202" s="57">
        <v>66</v>
      </c>
      <c r="I202" s="211">
        <v>85</v>
      </c>
      <c r="J202" s="212">
        <v>1.27</v>
      </c>
      <c r="K202" s="42">
        <v>1.3</v>
      </c>
      <c r="L202" s="59">
        <v>2</v>
      </c>
      <c r="M202" s="59">
        <v>12.2</v>
      </c>
    </row>
    <row r="203" spans="1:13" ht="18" customHeight="1" x14ac:dyDescent="0.35">
      <c r="A203" s="209">
        <v>14</v>
      </c>
      <c r="B203" s="51">
        <v>25.6</v>
      </c>
      <c r="C203" s="52">
        <v>13</v>
      </c>
      <c r="D203" s="41">
        <f t="shared" si="37"/>
        <v>19.3</v>
      </c>
      <c r="E203" s="61">
        <v>11.4</v>
      </c>
      <c r="F203" s="51"/>
      <c r="G203" s="213">
        <v>86</v>
      </c>
      <c r="H203" s="57">
        <v>48</v>
      </c>
      <c r="I203" s="211">
        <v>84</v>
      </c>
      <c r="J203" s="212">
        <v>1.81</v>
      </c>
      <c r="K203" s="42">
        <v>1.8</v>
      </c>
      <c r="L203" s="59">
        <v>3</v>
      </c>
      <c r="M203" s="59">
        <v>12.8</v>
      </c>
    </row>
    <row r="204" spans="1:13" ht="18" customHeight="1" x14ac:dyDescent="0.35">
      <c r="A204" s="209">
        <v>15</v>
      </c>
      <c r="B204" s="51">
        <v>23.8</v>
      </c>
      <c r="C204" s="52">
        <v>13</v>
      </c>
      <c r="D204" s="41">
        <f t="shared" si="37"/>
        <v>18.399999999999999</v>
      </c>
      <c r="E204" s="61">
        <v>11</v>
      </c>
      <c r="F204" s="51"/>
      <c r="G204" s="213">
        <v>89</v>
      </c>
      <c r="H204" s="57">
        <v>62</v>
      </c>
      <c r="I204" s="211">
        <v>82</v>
      </c>
      <c r="J204" s="212">
        <v>1.92</v>
      </c>
      <c r="K204" s="42">
        <v>2.1</v>
      </c>
      <c r="L204" s="59">
        <v>3.5</v>
      </c>
      <c r="M204" s="59">
        <v>13.2</v>
      </c>
    </row>
    <row r="205" spans="1:13" ht="18" customHeight="1" x14ac:dyDescent="0.35">
      <c r="A205" s="209">
        <v>16</v>
      </c>
      <c r="B205" s="51">
        <v>24</v>
      </c>
      <c r="C205" s="52">
        <v>10</v>
      </c>
      <c r="D205" s="41">
        <f t="shared" si="37"/>
        <v>17</v>
      </c>
      <c r="E205" s="61">
        <v>8</v>
      </c>
      <c r="F205" s="51"/>
      <c r="G205" s="213">
        <v>86</v>
      </c>
      <c r="H205" s="81">
        <v>68</v>
      </c>
      <c r="I205" s="207">
        <v>80</v>
      </c>
      <c r="J205" s="212">
        <v>1.63</v>
      </c>
      <c r="K205" s="42">
        <v>1.8</v>
      </c>
      <c r="L205" s="59">
        <v>3</v>
      </c>
      <c r="M205" s="59">
        <v>13.4</v>
      </c>
    </row>
    <row r="206" spans="1:13" ht="18" customHeight="1" x14ac:dyDescent="0.35">
      <c r="A206" s="223">
        <v>17</v>
      </c>
      <c r="B206" s="51">
        <v>24.6</v>
      </c>
      <c r="C206" s="60">
        <v>10.4</v>
      </c>
      <c r="D206" s="41">
        <f t="shared" si="37"/>
        <v>17.5</v>
      </c>
      <c r="E206" s="61">
        <v>8.1999999999999993</v>
      </c>
      <c r="F206" s="51"/>
      <c r="G206" s="213">
        <v>87</v>
      </c>
      <c r="H206" s="57">
        <v>72</v>
      </c>
      <c r="I206" s="211">
        <v>82</v>
      </c>
      <c r="J206" s="212">
        <v>1.76</v>
      </c>
      <c r="K206" s="42">
        <v>1.2</v>
      </c>
      <c r="L206" s="59">
        <v>2</v>
      </c>
      <c r="M206" s="59">
        <v>12.6</v>
      </c>
    </row>
    <row r="207" spans="1:13" ht="18" customHeight="1" x14ac:dyDescent="0.35">
      <c r="A207" s="223">
        <v>18</v>
      </c>
      <c r="B207" s="51">
        <v>23.4</v>
      </c>
      <c r="C207" s="60">
        <v>10.6</v>
      </c>
      <c r="D207" s="41">
        <f t="shared" si="37"/>
        <v>17</v>
      </c>
      <c r="E207" s="53">
        <v>8.8000000000000007</v>
      </c>
      <c r="F207" s="51"/>
      <c r="G207" s="213">
        <v>90</v>
      </c>
      <c r="H207" s="57">
        <v>60</v>
      </c>
      <c r="I207" s="211">
        <v>86</v>
      </c>
      <c r="J207" s="212">
        <v>3.24</v>
      </c>
      <c r="K207" s="42">
        <v>3.6</v>
      </c>
      <c r="L207" s="59">
        <v>6</v>
      </c>
      <c r="M207" s="59">
        <v>11.8</v>
      </c>
    </row>
    <row r="208" spans="1:13" ht="18" customHeight="1" x14ac:dyDescent="0.35">
      <c r="A208" s="223">
        <v>19</v>
      </c>
      <c r="B208" s="51">
        <v>22.4</v>
      </c>
      <c r="C208" s="60">
        <v>11</v>
      </c>
      <c r="D208" s="41">
        <f t="shared" si="37"/>
        <v>16.7</v>
      </c>
      <c r="E208" s="61">
        <v>9.6</v>
      </c>
      <c r="F208" s="51"/>
      <c r="G208" s="213">
        <v>87</v>
      </c>
      <c r="H208" s="57">
        <v>53</v>
      </c>
      <c r="I208" s="211">
        <v>83</v>
      </c>
      <c r="J208" s="212">
        <v>1.1000000000000001</v>
      </c>
      <c r="K208" s="42">
        <v>1.3</v>
      </c>
      <c r="L208" s="59">
        <v>2</v>
      </c>
      <c r="M208" s="59">
        <v>9.4</v>
      </c>
    </row>
    <row r="209" spans="1:13" ht="18" customHeight="1" thickBot="1" x14ac:dyDescent="0.4">
      <c r="A209" s="311">
        <v>20</v>
      </c>
      <c r="B209" s="51">
        <v>25.2</v>
      </c>
      <c r="C209" s="60">
        <v>12</v>
      </c>
      <c r="D209" s="41">
        <f t="shared" si="37"/>
        <v>18.600000000000001</v>
      </c>
      <c r="E209" s="61">
        <v>10</v>
      </c>
      <c r="F209" s="51"/>
      <c r="G209" s="213">
        <v>88</v>
      </c>
      <c r="H209" s="57">
        <v>66</v>
      </c>
      <c r="I209" s="213">
        <v>86</v>
      </c>
      <c r="J209" s="212">
        <v>1.58</v>
      </c>
      <c r="K209" s="42">
        <v>1.6</v>
      </c>
      <c r="L209" s="59">
        <v>2.5</v>
      </c>
      <c r="M209" s="59">
        <v>13</v>
      </c>
    </row>
    <row r="210" spans="1:13" ht="18" customHeight="1" thickBot="1" x14ac:dyDescent="0.4">
      <c r="A210" s="298" t="s">
        <v>35</v>
      </c>
      <c r="B210" s="367">
        <f>SUM(B200:B209)</f>
        <v>236.99999999999997</v>
      </c>
      <c r="C210" s="367">
        <f>SUM(C200:C209)</f>
        <v>120.2</v>
      </c>
      <c r="D210" s="372">
        <f>SUM(D200:D209)</f>
        <v>178.6</v>
      </c>
      <c r="E210" s="367">
        <f>SUM(E200:E209)</f>
        <v>99.999999999999986</v>
      </c>
      <c r="F210" s="368">
        <f>SUM(F207:F209)</f>
        <v>0</v>
      </c>
      <c r="G210" s="369">
        <f t="shared" ref="G210:M210" si="38">SUM(G200:G209)</f>
        <v>874</v>
      </c>
      <c r="H210" s="369">
        <f t="shared" si="38"/>
        <v>648</v>
      </c>
      <c r="I210" s="370">
        <f t="shared" si="38"/>
        <v>836</v>
      </c>
      <c r="J210" s="371">
        <f t="shared" si="38"/>
        <v>16.95</v>
      </c>
      <c r="K210" s="367">
        <f t="shared" si="38"/>
        <v>17.900000000000002</v>
      </c>
      <c r="L210" s="372">
        <f t="shared" si="38"/>
        <v>29.5</v>
      </c>
      <c r="M210" s="372">
        <f t="shared" si="38"/>
        <v>107.2</v>
      </c>
    </row>
    <row r="211" spans="1:13" ht="18" customHeight="1" x14ac:dyDescent="0.35">
      <c r="A211" s="316">
        <v>21</v>
      </c>
      <c r="B211" s="51">
        <v>24.4</v>
      </c>
      <c r="C211" s="60">
        <v>10</v>
      </c>
      <c r="D211" s="41">
        <f t="shared" ref="D211:D221" si="39">(B211+C211)/2</f>
        <v>17.2</v>
      </c>
      <c r="E211" s="61">
        <v>8.1999999999999993</v>
      </c>
      <c r="F211" s="51"/>
      <c r="G211" s="213">
        <v>88</v>
      </c>
      <c r="H211" s="67">
        <v>67</v>
      </c>
      <c r="I211" s="229">
        <v>85</v>
      </c>
      <c r="J211" s="212">
        <v>1.39</v>
      </c>
      <c r="K211" s="42">
        <v>1.5</v>
      </c>
      <c r="L211" s="59">
        <v>2.5</v>
      </c>
      <c r="M211" s="48">
        <v>13.1</v>
      </c>
    </row>
    <row r="212" spans="1:13" ht="18" customHeight="1" x14ac:dyDescent="0.35">
      <c r="A212" s="223">
        <v>22</v>
      </c>
      <c r="B212" s="51">
        <v>23.4</v>
      </c>
      <c r="C212" s="60">
        <v>9</v>
      </c>
      <c r="D212" s="41">
        <f t="shared" si="39"/>
        <v>16.2</v>
      </c>
      <c r="E212" s="53">
        <v>7.6</v>
      </c>
      <c r="F212" s="51"/>
      <c r="G212" s="373">
        <v>87</v>
      </c>
      <c r="H212" s="57">
        <v>61</v>
      </c>
      <c r="I212" s="211">
        <v>85</v>
      </c>
      <c r="J212" s="212">
        <v>1.5</v>
      </c>
      <c r="K212" s="42">
        <v>1.7</v>
      </c>
      <c r="L212" s="59">
        <v>3</v>
      </c>
      <c r="M212" s="59">
        <v>10.9</v>
      </c>
    </row>
    <row r="213" spans="1:13" ht="18" customHeight="1" x14ac:dyDescent="0.35">
      <c r="A213" s="223">
        <v>23</v>
      </c>
      <c r="B213" s="51">
        <v>21</v>
      </c>
      <c r="C213" s="60">
        <v>14</v>
      </c>
      <c r="D213" s="41">
        <f t="shared" si="39"/>
        <v>17.5</v>
      </c>
      <c r="E213" s="61">
        <v>12.6</v>
      </c>
      <c r="F213" s="51"/>
      <c r="G213" s="373">
        <v>89</v>
      </c>
      <c r="H213" s="57">
        <v>73</v>
      </c>
      <c r="I213" s="211">
        <v>82</v>
      </c>
      <c r="J213" s="212">
        <v>1.75</v>
      </c>
      <c r="K213" s="42">
        <v>1.6</v>
      </c>
      <c r="L213" s="59">
        <v>2.5</v>
      </c>
      <c r="M213" s="59">
        <v>1.8</v>
      </c>
    </row>
    <row r="214" spans="1:13" ht="18" customHeight="1" x14ac:dyDescent="0.35">
      <c r="A214" s="223">
        <v>24</v>
      </c>
      <c r="B214" s="51">
        <v>20.8</v>
      </c>
      <c r="C214" s="60">
        <v>12.6</v>
      </c>
      <c r="D214" s="41">
        <f t="shared" si="39"/>
        <v>16.7</v>
      </c>
      <c r="E214" s="61">
        <v>11</v>
      </c>
      <c r="F214" s="51"/>
      <c r="G214" s="373">
        <v>90</v>
      </c>
      <c r="H214" s="57">
        <v>58</v>
      </c>
      <c r="I214" s="211">
        <v>88</v>
      </c>
      <c r="J214" s="212">
        <v>1.04</v>
      </c>
      <c r="K214" s="42">
        <v>1.3</v>
      </c>
      <c r="L214" s="59">
        <v>2</v>
      </c>
      <c r="M214" s="59">
        <v>0</v>
      </c>
    </row>
    <row r="215" spans="1:13" ht="18" customHeight="1" x14ac:dyDescent="0.35">
      <c r="A215" s="223">
        <v>25</v>
      </c>
      <c r="B215" s="51">
        <v>21.2</v>
      </c>
      <c r="C215" s="60">
        <v>8</v>
      </c>
      <c r="D215" s="41">
        <f t="shared" si="39"/>
        <v>14.6</v>
      </c>
      <c r="E215" s="53">
        <v>6.6</v>
      </c>
      <c r="F215" s="51"/>
      <c r="G215" s="373">
        <v>91</v>
      </c>
      <c r="H215" s="57">
        <v>70</v>
      </c>
      <c r="I215" s="211">
        <v>86</v>
      </c>
      <c r="J215" s="212">
        <v>2.31</v>
      </c>
      <c r="K215" s="42">
        <v>2.8</v>
      </c>
      <c r="L215" s="59">
        <v>4.5</v>
      </c>
      <c r="M215" s="59">
        <v>6.3</v>
      </c>
    </row>
    <row r="216" spans="1:13" ht="18" customHeight="1" x14ac:dyDescent="0.35">
      <c r="A216" s="223">
        <v>26</v>
      </c>
      <c r="B216" s="51">
        <v>22.4</v>
      </c>
      <c r="C216" s="60">
        <v>16</v>
      </c>
      <c r="D216" s="41">
        <f t="shared" si="39"/>
        <v>19.2</v>
      </c>
      <c r="E216" s="53">
        <v>14.4</v>
      </c>
      <c r="F216" s="51"/>
      <c r="G216" s="211">
        <v>88</v>
      </c>
      <c r="H216" s="57">
        <v>54</v>
      </c>
      <c r="I216" s="211">
        <v>80</v>
      </c>
      <c r="J216" s="212">
        <v>0.91</v>
      </c>
      <c r="K216" s="42">
        <v>1.1000000000000001</v>
      </c>
      <c r="L216" s="59">
        <v>2</v>
      </c>
      <c r="M216" s="59">
        <v>7.6</v>
      </c>
    </row>
    <row r="217" spans="1:13" ht="18" customHeight="1" x14ac:dyDescent="0.35">
      <c r="A217" s="223">
        <v>27</v>
      </c>
      <c r="B217" s="51">
        <v>22.8</v>
      </c>
      <c r="C217" s="60">
        <v>16.399999999999999</v>
      </c>
      <c r="D217" s="41">
        <f t="shared" si="39"/>
        <v>19.600000000000001</v>
      </c>
      <c r="E217" s="53">
        <v>14.6</v>
      </c>
      <c r="F217" s="51"/>
      <c r="G217" s="211">
        <v>88</v>
      </c>
      <c r="H217" s="57">
        <v>74</v>
      </c>
      <c r="I217" s="211">
        <v>84</v>
      </c>
      <c r="J217" s="212">
        <v>1.37</v>
      </c>
      <c r="K217" s="42">
        <v>1.6</v>
      </c>
      <c r="L217" s="59">
        <v>2.5</v>
      </c>
      <c r="M217" s="59">
        <v>7.2</v>
      </c>
    </row>
    <row r="218" spans="1:13" ht="18" customHeight="1" x14ac:dyDescent="0.35">
      <c r="A218" s="223">
        <v>28</v>
      </c>
      <c r="B218" s="51">
        <v>24.2</v>
      </c>
      <c r="C218" s="60">
        <v>15.8</v>
      </c>
      <c r="D218" s="41">
        <f t="shared" si="39"/>
        <v>20</v>
      </c>
      <c r="E218" s="53">
        <v>13.8</v>
      </c>
      <c r="F218" s="51"/>
      <c r="G218" s="211">
        <v>91</v>
      </c>
      <c r="H218" s="57">
        <v>61</v>
      </c>
      <c r="I218" s="211">
        <v>81</v>
      </c>
      <c r="J218" s="212">
        <v>1.94</v>
      </c>
      <c r="K218" s="42">
        <v>2.1</v>
      </c>
      <c r="L218" s="59">
        <v>3.5</v>
      </c>
      <c r="M218" s="59">
        <v>6.3</v>
      </c>
    </row>
    <row r="219" spans="1:13" ht="18" customHeight="1" x14ac:dyDescent="0.35">
      <c r="A219" s="223">
        <v>29</v>
      </c>
      <c r="B219" s="51">
        <v>22.4</v>
      </c>
      <c r="C219" s="60">
        <v>15</v>
      </c>
      <c r="D219" s="41">
        <f t="shared" si="39"/>
        <v>18.7</v>
      </c>
      <c r="E219" s="53">
        <v>13.2</v>
      </c>
      <c r="F219" s="51"/>
      <c r="G219" s="211">
        <v>91</v>
      </c>
      <c r="H219" s="57">
        <v>76</v>
      </c>
      <c r="I219" s="211">
        <v>84</v>
      </c>
      <c r="J219" s="212">
        <v>1.47</v>
      </c>
      <c r="K219" s="42">
        <v>1.7</v>
      </c>
      <c r="L219" s="59">
        <v>3</v>
      </c>
      <c r="M219" s="59">
        <v>5.5</v>
      </c>
    </row>
    <row r="220" spans="1:13" ht="18" customHeight="1" x14ac:dyDescent="0.35">
      <c r="A220" s="223">
        <v>30</v>
      </c>
      <c r="B220" s="94">
        <v>25.8</v>
      </c>
      <c r="C220" s="60">
        <v>18</v>
      </c>
      <c r="D220" s="41">
        <f t="shared" si="39"/>
        <v>21.9</v>
      </c>
      <c r="E220" s="53">
        <v>15.8</v>
      </c>
      <c r="F220" s="51"/>
      <c r="G220" s="211">
        <v>88</v>
      </c>
      <c r="H220" s="57">
        <v>62</v>
      </c>
      <c r="I220" s="213">
        <v>82</v>
      </c>
      <c r="J220" s="212">
        <v>1.61</v>
      </c>
      <c r="K220" s="42">
        <v>1.6</v>
      </c>
      <c r="L220" s="59">
        <v>2.5</v>
      </c>
      <c r="M220" s="59">
        <v>6.7</v>
      </c>
    </row>
    <row r="221" spans="1:13" ht="18" customHeight="1" thickBot="1" x14ac:dyDescent="0.4">
      <c r="A221" s="311">
        <v>31</v>
      </c>
      <c r="B221" s="374">
        <v>21</v>
      </c>
      <c r="C221" s="375">
        <v>16</v>
      </c>
      <c r="D221" s="376">
        <f t="shared" si="39"/>
        <v>18.5</v>
      </c>
      <c r="E221" s="377">
        <v>13.4</v>
      </c>
      <c r="F221" s="378"/>
      <c r="G221" s="379">
        <v>91</v>
      </c>
      <c r="H221" s="100">
        <v>66</v>
      </c>
      <c r="I221" s="380">
        <v>87</v>
      </c>
      <c r="J221" s="381">
        <v>2.4500000000000002</v>
      </c>
      <c r="K221" s="375">
        <v>3</v>
      </c>
      <c r="L221" s="232">
        <v>5</v>
      </c>
      <c r="M221" s="232">
        <v>7.4</v>
      </c>
    </row>
    <row r="222" spans="1:13" ht="18" customHeight="1" thickBot="1" x14ac:dyDescent="0.4">
      <c r="A222" s="329" t="s">
        <v>35</v>
      </c>
      <c r="B222" s="382">
        <f>SUM(B211:B221)</f>
        <v>249.4</v>
      </c>
      <c r="C222" s="382">
        <f>SUM(C211:C221)</f>
        <v>150.80000000000001</v>
      </c>
      <c r="D222" s="382">
        <f>SUM(D211:D221)</f>
        <v>200.1</v>
      </c>
      <c r="E222" s="382">
        <f>SUM(E211:E221)</f>
        <v>131.19999999999999</v>
      </c>
      <c r="F222" s="383">
        <f>SUM(F211:F221)</f>
        <v>0</v>
      </c>
      <c r="G222" s="384">
        <f t="shared" ref="G222:M222" si="40">SUM(G211:G221)</f>
        <v>982</v>
      </c>
      <c r="H222" s="384">
        <f t="shared" si="40"/>
        <v>722</v>
      </c>
      <c r="I222" s="385">
        <f t="shared" si="40"/>
        <v>924</v>
      </c>
      <c r="J222" s="386">
        <f t="shared" si="40"/>
        <v>17.739999999999998</v>
      </c>
      <c r="K222" s="382">
        <f t="shared" si="40"/>
        <v>20</v>
      </c>
      <c r="L222" s="382">
        <f t="shared" si="40"/>
        <v>33</v>
      </c>
      <c r="M222" s="387">
        <f t="shared" si="40"/>
        <v>72.800000000000011</v>
      </c>
    </row>
    <row r="223" spans="1:13" ht="18" customHeight="1" thickBot="1" x14ac:dyDescent="0.4">
      <c r="A223" s="335" t="s">
        <v>36</v>
      </c>
      <c r="B223" s="249">
        <f>B222+B210+B199</f>
        <v>704.2</v>
      </c>
      <c r="C223" s="249">
        <f t="shared" ref="C223:M223" si="41">C222+C210+C199</f>
        <v>369.6</v>
      </c>
      <c r="D223" s="249">
        <f t="shared" si="41"/>
        <v>536.9</v>
      </c>
      <c r="E223" s="249">
        <f t="shared" si="41"/>
        <v>311.39999999999998</v>
      </c>
      <c r="F223" s="249">
        <f t="shared" si="41"/>
        <v>0</v>
      </c>
      <c r="G223" s="249">
        <f t="shared" si="41"/>
        <v>2743</v>
      </c>
      <c r="H223" s="249">
        <f t="shared" si="41"/>
        <v>2057</v>
      </c>
      <c r="I223" s="249">
        <f t="shared" si="41"/>
        <v>2605</v>
      </c>
      <c r="J223" s="388">
        <f t="shared" si="41"/>
        <v>51.809999999999995</v>
      </c>
      <c r="K223" s="249">
        <f t="shared" si="41"/>
        <v>58.300000000000004</v>
      </c>
      <c r="L223" s="249">
        <f t="shared" si="41"/>
        <v>96.5</v>
      </c>
      <c r="M223" s="257">
        <f t="shared" si="41"/>
        <v>273.8</v>
      </c>
    </row>
    <row r="224" spans="1:13" ht="18" customHeight="1" thickBot="1" x14ac:dyDescent="0.4">
      <c r="A224" s="337" t="s">
        <v>19</v>
      </c>
      <c r="B224" s="259">
        <f>B223/31</f>
        <v>22.716129032258067</v>
      </c>
      <c r="C224" s="259">
        <f t="shared" ref="C224:J224" si="42">C223/31</f>
        <v>11.922580645161291</v>
      </c>
      <c r="D224" s="259">
        <f t="shared" si="42"/>
        <v>17.319354838709678</v>
      </c>
      <c r="E224" s="259">
        <f t="shared" si="42"/>
        <v>10.04516129032258</v>
      </c>
      <c r="F224" s="249" t="s">
        <v>46</v>
      </c>
      <c r="G224" s="339">
        <f t="shared" si="42"/>
        <v>88.483870967741936</v>
      </c>
      <c r="H224" s="389">
        <f t="shared" si="42"/>
        <v>66.354838709677423</v>
      </c>
      <c r="I224" s="389">
        <f t="shared" si="42"/>
        <v>84.032258064516128</v>
      </c>
      <c r="J224" s="390">
        <f t="shared" si="42"/>
        <v>1.671290322580645</v>
      </c>
      <c r="K224" s="267"/>
      <c r="L224" s="268"/>
      <c r="M224" s="343"/>
    </row>
    <row r="225" spans="1:13" ht="15" thickBot="1" x14ac:dyDescent="0.4">
      <c r="F225" s="4"/>
      <c r="G225" s="4"/>
      <c r="H225" s="4"/>
      <c r="I225" s="4"/>
      <c r="J225" s="4"/>
      <c r="K225" s="4"/>
      <c r="L225" s="4"/>
      <c r="M225" s="4"/>
    </row>
    <row r="226" spans="1:13" ht="16" thickBot="1" x14ac:dyDescent="0.4">
      <c r="A226" s="933" t="s">
        <v>0</v>
      </c>
      <c r="B226" s="934"/>
      <c r="C226" s="934"/>
      <c r="D226" s="934"/>
      <c r="E226" s="934"/>
      <c r="F226" s="935"/>
      <c r="G226" s="4"/>
      <c r="H226" s="4"/>
      <c r="I226" s="4"/>
      <c r="J226" s="4"/>
      <c r="K226" s="4"/>
      <c r="L226" s="4"/>
      <c r="M226" s="4"/>
    </row>
    <row r="227" spans="1:13" ht="15.5" x14ac:dyDescent="0.35">
      <c r="A227" s="936" t="s">
        <v>2</v>
      </c>
      <c r="B227" s="937"/>
      <c r="C227" s="937"/>
      <c r="D227" s="937"/>
      <c r="E227" s="937"/>
      <c r="F227" s="938"/>
      <c r="G227" s="4"/>
      <c r="H227" s="4"/>
      <c r="I227" s="933" t="s">
        <v>3</v>
      </c>
      <c r="J227" s="934"/>
      <c r="K227" s="934"/>
      <c r="L227" s="934"/>
      <c r="M227" s="935"/>
    </row>
    <row r="228" spans="1:13" ht="15.5" x14ac:dyDescent="0.35">
      <c r="A228" s="936" t="s">
        <v>4</v>
      </c>
      <c r="B228" s="937"/>
      <c r="C228" s="937"/>
      <c r="D228" s="937"/>
      <c r="E228" s="937"/>
      <c r="F228" s="938"/>
      <c r="G228" s="4"/>
      <c r="H228" s="4"/>
      <c r="I228" s="936" t="s">
        <v>5</v>
      </c>
      <c r="J228" s="937"/>
      <c r="K228" s="937"/>
      <c r="L228" s="937"/>
      <c r="M228" s="938"/>
    </row>
    <row r="229" spans="1:13" ht="16" thickBot="1" x14ac:dyDescent="0.4">
      <c r="A229" s="921" t="s">
        <v>6</v>
      </c>
      <c r="B229" s="922"/>
      <c r="C229" s="922"/>
      <c r="D229" s="922"/>
      <c r="E229" s="922"/>
      <c r="F229" s="923"/>
      <c r="G229" s="4"/>
      <c r="H229" s="4"/>
      <c r="I229" s="921" t="s">
        <v>47</v>
      </c>
      <c r="J229" s="922"/>
      <c r="K229" s="922"/>
      <c r="L229" s="922"/>
      <c r="M229" s="923"/>
    </row>
    <row r="230" spans="1:13" ht="26" thickBot="1" x14ac:dyDescent="0.65">
      <c r="A230" s="17" t="s">
        <v>39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8" customHeight="1" thickBot="1" x14ac:dyDescent="0.4">
      <c r="A231" s="909" t="s">
        <v>10</v>
      </c>
      <c r="B231" s="939" t="s">
        <v>11</v>
      </c>
      <c r="C231" s="940"/>
      <c r="D231" s="940"/>
      <c r="E231" s="941"/>
      <c r="F231" s="20" t="s">
        <v>12</v>
      </c>
      <c r="G231" s="912" t="s">
        <v>13</v>
      </c>
      <c r="H231" s="913"/>
      <c r="I231" s="914"/>
      <c r="J231" s="20" t="s">
        <v>14</v>
      </c>
      <c r="K231" s="912" t="s">
        <v>15</v>
      </c>
      <c r="L231" s="914"/>
      <c r="M231" s="20" t="s">
        <v>16</v>
      </c>
    </row>
    <row r="232" spans="1:13" ht="18" customHeight="1" thickBot="1" x14ac:dyDescent="0.4">
      <c r="A232" s="910"/>
      <c r="B232" s="391" t="s">
        <v>17</v>
      </c>
      <c r="C232" s="392" t="s">
        <v>18</v>
      </c>
      <c r="D232" s="392" t="s">
        <v>19</v>
      </c>
      <c r="E232" s="393" t="s">
        <v>18</v>
      </c>
      <c r="F232" s="27" t="s">
        <v>20</v>
      </c>
      <c r="G232" s="942" t="s">
        <v>21</v>
      </c>
      <c r="H232" s="943"/>
      <c r="I232" s="944"/>
      <c r="J232" s="27" t="s">
        <v>22</v>
      </c>
      <c r="K232" s="942" t="s">
        <v>23</v>
      </c>
      <c r="L232" s="944"/>
      <c r="M232" s="27" t="s">
        <v>24</v>
      </c>
    </row>
    <row r="233" spans="1:13" ht="18" customHeight="1" thickBot="1" x14ac:dyDescent="0.4">
      <c r="A233" s="911"/>
      <c r="B233" s="28" t="s">
        <v>25</v>
      </c>
      <c r="C233" s="29" t="s">
        <v>25</v>
      </c>
      <c r="D233" s="29"/>
      <c r="E233" s="394" t="s">
        <v>26</v>
      </c>
      <c r="F233" s="37" t="s">
        <v>27</v>
      </c>
      <c r="G233" s="395" t="s">
        <v>28</v>
      </c>
      <c r="H233" s="33" t="s">
        <v>29</v>
      </c>
      <c r="I233" s="396" t="s">
        <v>30</v>
      </c>
      <c r="J233" s="37" t="s">
        <v>31</v>
      </c>
      <c r="K233" s="397" t="s">
        <v>32</v>
      </c>
      <c r="L233" s="394" t="s">
        <v>33</v>
      </c>
      <c r="M233" s="37" t="s">
        <v>34</v>
      </c>
    </row>
    <row r="234" spans="1:13" ht="18" customHeight="1" x14ac:dyDescent="0.35">
      <c r="A234" s="222">
        <v>1</v>
      </c>
      <c r="B234" s="39">
        <v>22.4</v>
      </c>
      <c r="C234" s="40">
        <v>15.8</v>
      </c>
      <c r="D234" s="41">
        <f>+(B234+C234)/2</f>
        <v>19.100000000000001</v>
      </c>
      <c r="E234" s="42">
        <v>12.6</v>
      </c>
      <c r="F234" s="398"/>
      <c r="G234" s="213">
        <v>87</v>
      </c>
      <c r="H234" s="57">
        <v>68</v>
      </c>
      <c r="I234" s="213">
        <v>84</v>
      </c>
      <c r="J234" s="283">
        <v>1.88</v>
      </c>
      <c r="K234" s="42">
        <v>2.2000000000000002</v>
      </c>
      <c r="L234" s="48">
        <v>3.5</v>
      </c>
      <c r="M234" s="399">
        <v>0</v>
      </c>
    </row>
    <row r="235" spans="1:13" ht="18" customHeight="1" x14ac:dyDescent="0.35">
      <c r="A235" s="50">
        <v>2</v>
      </c>
      <c r="B235" s="51">
        <v>20.6</v>
      </c>
      <c r="C235" s="52">
        <v>16.2</v>
      </c>
      <c r="D235" s="41">
        <f t="shared" ref="D235:D243" si="43">+(B235+C235)/2</f>
        <v>18.399999999999999</v>
      </c>
      <c r="E235" s="53">
        <v>13</v>
      </c>
      <c r="F235" s="400"/>
      <c r="G235" s="213">
        <v>86</v>
      </c>
      <c r="H235" s="57">
        <v>75</v>
      </c>
      <c r="I235" s="213">
        <v>84</v>
      </c>
      <c r="J235" s="225">
        <v>1.65</v>
      </c>
      <c r="K235" s="53">
        <v>1.8</v>
      </c>
      <c r="L235" s="59">
        <v>3</v>
      </c>
      <c r="M235" s="401">
        <v>5</v>
      </c>
    </row>
    <row r="236" spans="1:13" ht="18" customHeight="1" x14ac:dyDescent="0.35">
      <c r="A236" s="50">
        <v>3</v>
      </c>
      <c r="B236" s="51">
        <v>23.6</v>
      </c>
      <c r="C236" s="60">
        <v>14.6</v>
      </c>
      <c r="D236" s="41">
        <f t="shared" si="43"/>
        <v>19.100000000000001</v>
      </c>
      <c r="E236" s="53">
        <v>12.2</v>
      </c>
      <c r="F236" s="400"/>
      <c r="G236" s="213">
        <v>89</v>
      </c>
      <c r="H236" s="57">
        <v>69</v>
      </c>
      <c r="I236" s="57">
        <v>86</v>
      </c>
      <c r="J236" s="225">
        <v>1.68</v>
      </c>
      <c r="K236" s="53">
        <v>1.6</v>
      </c>
      <c r="L236" s="59">
        <v>2.5</v>
      </c>
      <c r="M236" s="402">
        <v>3.5</v>
      </c>
    </row>
    <row r="237" spans="1:13" ht="18" customHeight="1" x14ac:dyDescent="0.35">
      <c r="A237" s="50">
        <v>4</v>
      </c>
      <c r="B237" s="51">
        <v>25.8</v>
      </c>
      <c r="C237" s="60">
        <v>15.2</v>
      </c>
      <c r="D237" s="41">
        <f t="shared" si="43"/>
        <v>20.5</v>
      </c>
      <c r="E237" s="61">
        <v>12.8</v>
      </c>
      <c r="F237" s="400"/>
      <c r="G237" s="213">
        <v>91</v>
      </c>
      <c r="H237" s="57">
        <v>76</v>
      </c>
      <c r="I237" s="211">
        <v>90</v>
      </c>
      <c r="J237" s="225">
        <v>1.7</v>
      </c>
      <c r="K237" s="53">
        <v>2.5</v>
      </c>
      <c r="L237" s="59">
        <v>4</v>
      </c>
      <c r="M237" s="401">
        <v>5.9</v>
      </c>
    </row>
    <row r="238" spans="1:13" ht="18" customHeight="1" x14ac:dyDescent="0.35">
      <c r="A238" s="50">
        <v>5</v>
      </c>
      <c r="B238" s="51">
        <v>24.6</v>
      </c>
      <c r="C238" s="52">
        <v>15.8</v>
      </c>
      <c r="D238" s="41">
        <f t="shared" si="43"/>
        <v>20.200000000000003</v>
      </c>
      <c r="E238" s="61">
        <v>13.6</v>
      </c>
      <c r="F238" s="400"/>
      <c r="G238" s="213">
        <v>88</v>
      </c>
      <c r="H238" s="57">
        <v>72</v>
      </c>
      <c r="I238" s="211">
        <v>81</v>
      </c>
      <c r="J238" s="225">
        <v>1.73</v>
      </c>
      <c r="K238" s="53">
        <v>1.8</v>
      </c>
      <c r="L238" s="59">
        <v>3</v>
      </c>
      <c r="M238" s="401">
        <v>4.9000000000000004</v>
      </c>
    </row>
    <row r="239" spans="1:13" ht="18" customHeight="1" x14ac:dyDescent="0.35">
      <c r="A239" s="50">
        <v>6</v>
      </c>
      <c r="B239" s="51">
        <v>25.4</v>
      </c>
      <c r="C239" s="52">
        <v>15</v>
      </c>
      <c r="D239" s="41">
        <f t="shared" si="43"/>
        <v>20.2</v>
      </c>
      <c r="E239" s="61">
        <v>13.2</v>
      </c>
      <c r="F239" s="400"/>
      <c r="G239" s="213">
        <v>89</v>
      </c>
      <c r="H239" s="57">
        <v>70</v>
      </c>
      <c r="I239" s="213">
        <v>86</v>
      </c>
      <c r="J239" s="225">
        <v>1.64</v>
      </c>
      <c r="K239" s="53">
        <v>2.7</v>
      </c>
      <c r="L239" s="59">
        <v>3</v>
      </c>
      <c r="M239" s="401">
        <v>4.2</v>
      </c>
    </row>
    <row r="240" spans="1:13" ht="18" customHeight="1" x14ac:dyDescent="0.35">
      <c r="A240" s="50">
        <v>7</v>
      </c>
      <c r="B240" s="51">
        <v>23.6</v>
      </c>
      <c r="C240" s="52">
        <v>15.6</v>
      </c>
      <c r="D240" s="41">
        <f t="shared" si="43"/>
        <v>19.600000000000001</v>
      </c>
      <c r="E240" s="61">
        <v>13.2</v>
      </c>
      <c r="F240" s="400"/>
      <c r="G240" s="211">
        <v>88</v>
      </c>
      <c r="H240" s="57">
        <v>76</v>
      </c>
      <c r="I240" s="211">
        <v>85</v>
      </c>
      <c r="J240" s="225">
        <v>2.02</v>
      </c>
      <c r="K240" s="53">
        <v>2.2000000000000002</v>
      </c>
      <c r="L240" s="59">
        <v>3.5</v>
      </c>
      <c r="M240" s="401">
        <v>3.5</v>
      </c>
    </row>
    <row r="241" spans="1:13" ht="18" customHeight="1" x14ac:dyDescent="0.35">
      <c r="A241" s="50">
        <v>8</v>
      </c>
      <c r="B241" s="51">
        <v>25</v>
      </c>
      <c r="C241" s="52">
        <v>14.8</v>
      </c>
      <c r="D241" s="41">
        <f t="shared" si="43"/>
        <v>19.899999999999999</v>
      </c>
      <c r="E241" s="61">
        <v>12.2</v>
      </c>
      <c r="F241" s="400"/>
      <c r="G241" s="213">
        <v>89</v>
      </c>
      <c r="H241" s="57">
        <v>66</v>
      </c>
      <c r="I241" s="211">
        <v>86</v>
      </c>
      <c r="J241" s="225">
        <v>1.45</v>
      </c>
      <c r="K241" s="53">
        <v>1.5</v>
      </c>
      <c r="L241" s="59">
        <v>2.5</v>
      </c>
      <c r="M241" s="401">
        <v>2</v>
      </c>
    </row>
    <row r="242" spans="1:13" ht="18" customHeight="1" x14ac:dyDescent="0.35">
      <c r="A242" s="50">
        <v>9</v>
      </c>
      <c r="B242" s="51">
        <v>25.4</v>
      </c>
      <c r="C242" s="52">
        <v>12.6</v>
      </c>
      <c r="D242" s="41">
        <f t="shared" si="43"/>
        <v>19</v>
      </c>
      <c r="E242" s="61">
        <v>10.4</v>
      </c>
      <c r="F242" s="400"/>
      <c r="G242" s="213">
        <v>87</v>
      </c>
      <c r="H242" s="57">
        <v>74</v>
      </c>
      <c r="I242" s="57">
        <v>84</v>
      </c>
      <c r="J242" s="225">
        <v>1.84</v>
      </c>
      <c r="K242" s="53">
        <v>2</v>
      </c>
      <c r="L242" s="59">
        <v>3</v>
      </c>
      <c r="M242" s="401">
        <v>5.7</v>
      </c>
    </row>
    <row r="243" spans="1:13" ht="18" customHeight="1" thickBot="1" x14ac:dyDescent="0.4">
      <c r="A243" s="403">
        <v>10</v>
      </c>
      <c r="B243" s="51">
        <v>26</v>
      </c>
      <c r="C243" s="60">
        <v>12</v>
      </c>
      <c r="D243" s="41">
        <f t="shared" si="43"/>
        <v>19</v>
      </c>
      <c r="E243" s="53">
        <v>10</v>
      </c>
      <c r="F243" s="404">
        <v>6.8</v>
      </c>
      <c r="G243" s="213">
        <v>92</v>
      </c>
      <c r="H243" s="57">
        <v>77</v>
      </c>
      <c r="I243" s="57">
        <v>90</v>
      </c>
      <c r="J243" s="225">
        <v>1.72</v>
      </c>
      <c r="K243" s="53">
        <v>2.4</v>
      </c>
      <c r="L243" s="59">
        <v>3</v>
      </c>
      <c r="M243" s="405">
        <v>7.6</v>
      </c>
    </row>
    <row r="244" spans="1:13" ht="18" customHeight="1" thickBot="1" x14ac:dyDescent="0.4">
      <c r="A244" s="406" t="s">
        <v>35</v>
      </c>
      <c r="B244" s="407">
        <f>SUM(B234:B243)</f>
        <v>242.4</v>
      </c>
      <c r="C244" s="407">
        <f>SUM(C234:C243)</f>
        <v>147.6</v>
      </c>
      <c r="D244" s="408">
        <f>SUM(D234:D243)</f>
        <v>195</v>
      </c>
      <c r="E244" s="409">
        <f>SUM(E234:E243)</f>
        <v>123.2</v>
      </c>
      <c r="F244" s="410">
        <f>SUM(F234:F243)</f>
        <v>6.8</v>
      </c>
      <c r="G244" s="411">
        <f t="shared" ref="G244:M244" si="44">SUM(G234:G243)</f>
        <v>886</v>
      </c>
      <c r="H244" s="412">
        <f t="shared" si="44"/>
        <v>723</v>
      </c>
      <c r="I244" s="413">
        <f t="shared" si="44"/>
        <v>856</v>
      </c>
      <c r="J244" s="414">
        <f t="shared" si="44"/>
        <v>17.309999999999999</v>
      </c>
      <c r="K244" s="407">
        <f t="shared" si="44"/>
        <v>20.7</v>
      </c>
      <c r="L244" s="410">
        <f t="shared" si="44"/>
        <v>31</v>
      </c>
      <c r="M244" s="415">
        <f t="shared" si="44"/>
        <v>42.300000000000004</v>
      </c>
    </row>
    <row r="245" spans="1:13" ht="18" customHeight="1" x14ac:dyDescent="0.35">
      <c r="A245" s="306">
        <v>11</v>
      </c>
      <c r="B245" s="51">
        <v>24.6</v>
      </c>
      <c r="C245" s="60">
        <v>14.4</v>
      </c>
      <c r="D245" s="41">
        <f t="shared" ref="D245:D254" si="45">+(B245+C245)/2</f>
        <v>19.5</v>
      </c>
      <c r="E245" s="53">
        <v>11.6</v>
      </c>
      <c r="F245" s="400"/>
      <c r="G245" s="213">
        <v>84</v>
      </c>
      <c r="H245" s="57">
        <v>63</v>
      </c>
      <c r="I245" s="213">
        <v>80</v>
      </c>
      <c r="J245" s="225">
        <v>1.34</v>
      </c>
      <c r="K245" s="53">
        <v>2.1</v>
      </c>
      <c r="L245" s="59">
        <v>2.5</v>
      </c>
      <c r="M245" s="401">
        <v>4.7</v>
      </c>
    </row>
    <row r="246" spans="1:13" ht="18" customHeight="1" x14ac:dyDescent="0.35">
      <c r="A246" s="209">
        <v>12</v>
      </c>
      <c r="B246" s="51">
        <v>25</v>
      </c>
      <c r="C246" s="52">
        <v>15.8</v>
      </c>
      <c r="D246" s="41">
        <f t="shared" si="45"/>
        <v>20.399999999999999</v>
      </c>
      <c r="E246" s="61">
        <v>13.6</v>
      </c>
      <c r="F246" s="400"/>
      <c r="G246" s="213">
        <v>83</v>
      </c>
      <c r="H246" s="57">
        <v>70</v>
      </c>
      <c r="I246" s="57">
        <v>81</v>
      </c>
      <c r="J246" s="225">
        <v>1.62</v>
      </c>
      <c r="K246" s="42">
        <v>1.7</v>
      </c>
      <c r="L246" s="59">
        <v>3</v>
      </c>
      <c r="M246" s="401">
        <v>8.1999999999999993</v>
      </c>
    </row>
    <row r="247" spans="1:13" ht="18" customHeight="1" x14ac:dyDescent="0.35">
      <c r="A247" s="209">
        <v>13</v>
      </c>
      <c r="B247" s="51">
        <v>25.4</v>
      </c>
      <c r="C247" s="52">
        <v>16.399999999999999</v>
      </c>
      <c r="D247" s="41">
        <f t="shared" si="45"/>
        <v>20.9</v>
      </c>
      <c r="E247" s="61">
        <v>14</v>
      </c>
      <c r="F247" s="400"/>
      <c r="G247" s="213">
        <v>93</v>
      </c>
      <c r="H247" s="57">
        <v>77</v>
      </c>
      <c r="I247" s="57">
        <v>90</v>
      </c>
      <c r="J247" s="225">
        <v>2</v>
      </c>
      <c r="K247" s="42">
        <v>2</v>
      </c>
      <c r="L247" s="59">
        <v>3.5</v>
      </c>
      <c r="M247" s="402">
        <v>7.2</v>
      </c>
    </row>
    <row r="248" spans="1:13" ht="18" customHeight="1" x14ac:dyDescent="0.35">
      <c r="A248" s="209">
        <v>14</v>
      </c>
      <c r="B248" s="51">
        <v>25.2</v>
      </c>
      <c r="C248" s="52">
        <v>17.8</v>
      </c>
      <c r="D248" s="41">
        <f t="shared" si="45"/>
        <v>21.5</v>
      </c>
      <c r="E248" s="61">
        <v>14.8</v>
      </c>
      <c r="F248" s="400"/>
      <c r="G248" s="213">
        <v>83</v>
      </c>
      <c r="H248" s="57">
        <v>70</v>
      </c>
      <c r="I248" s="57">
        <v>81</v>
      </c>
      <c r="J248" s="225">
        <v>1.56</v>
      </c>
      <c r="K248" s="42">
        <v>1.6</v>
      </c>
      <c r="L248" s="59">
        <v>2.5</v>
      </c>
      <c r="M248" s="401">
        <v>6.2</v>
      </c>
    </row>
    <row r="249" spans="1:13" ht="18" customHeight="1" x14ac:dyDescent="0.35">
      <c r="A249" s="209">
        <v>15</v>
      </c>
      <c r="B249" s="51">
        <v>27.6</v>
      </c>
      <c r="C249" s="52">
        <v>18.399999999999999</v>
      </c>
      <c r="D249" s="41">
        <f t="shared" si="45"/>
        <v>23</v>
      </c>
      <c r="E249" s="61">
        <v>15.6</v>
      </c>
      <c r="F249" s="400"/>
      <c r="G249" s="213">
        <v>85</v>
      </c>
      <c r="H249" s="57">
        <v>66</v>
      </c>
      <c r="I249" s="57">
        <v>83</v>
      </c>
      <c r="J249" s="225">
        <v>2.08</v>
      </c>
      <c r="K249" s="42">
        <v>2</v>
      </c>
      <c r="L249" s="59">
        <v>3</v>
      </c>
      <c r="M249" s="401">
        <v>8.5</v>
      </c>
    </row>
    <row r="250" spans="1:13" ht="18" customHeight="1" x14ac:dyDescent="0.35">
      <c r="A250" s="209">
        <v>16</v>
      </c>
      <c r="B250" s="51">
        <v>24.8</v>
      </c>
      <c r="C250" s="52">
        <v>15</v>
      </c>
      <c r="D250" s="41">
        <f t="shared" si="45"/>
        <v>19.899999999999999</v>
      </c>
      <c r="E250" s="61">
        <v>13.4</v>
      </c>
      <c r="F250" s="400"/>
      <c r="G250" s="213">
        <v>82</v>
      </c>
      <c r="H250" s="57">
        <v>67</v>
      </c>
      <c r="I250" s="213">
        <v>80</v>
      </c>
      <c r="J250" s="225">
        <v>1.17</v>
      </c>
      <c r="K250" s="42">
        <v>1.2</v>
      </c>
      <c r="L250" s="59">
        <v>2</v>
      </c>
      <c r="M250" s="401">
        <v>8.4</v>
      </c>
    </row>
    <row r="251" spans="1:13" ht="18" customHeight="1" x14ac:dyDescent="0.35">
      <c r="A251" s="223">
        <v>17</v>
      </c>
      <c r="B251" s="51">
        <v>27.2</v>
      </c>
      <c r="C251" s="60">
        <v>14.6</v>
      </c>
      <c r="D251" s="41">
        <f t="shared" si="45"/>
        <v>20.9</v>
      </c>
      <c r="E251" s="61">
        <v>12.4</v>
      </c>
      <c r="F251" s="400"/>
      <c r="G251" s="213">
        <v>83</v>
      </c>
      <c r="H251" s="57">
        <v>60</v>
      </c>
      <c r="I251" s="213">
        <v>81</v>
      </c>
      <c r="J251" s="225">
        <v>1.55</v>
      </c>
      <c r="K251" s="42">
        <v>3.2</v>
      </c>
      <c r="L251" s="59">
        <v>2</v>
      </c>
      <c r="M251" s="401">
        <v>7.6</v>
      </c>
    </row>
    <row r="252" spans="1:13" ht="18" customHeight="1" x14ac:dyDescent="0.35">
      <c r="A252" s="223">
        <v>18</v>
      </c>
      <c r="B252" s="51">
        <v>26</v>
      </c>
      <c r="C252" s="60">
        <v>16.399999999999999</v>
      </c>
      <c r="D252" s="41">
        <f t="shared" si="45"/>
        <v>21.2</v>
      </c>
      <c r="E252" s="53">
        <v>12.8</v>
      </c>
      <c r="F252" s="400"/>
      <c r="G252" s="213">
        <v>91</v>
      </c>
      <c r="H252" s="57">
        <v>77</v>
      </c>
      <c r="I252" s="213">
        <v>87</v>
      </c>
      <c r="J252" s="225">
        <v>2.13</v>
      </c>
      <c r="K252" s="42">
        <v>2.1</v>
      </c>
      <c r="L252" s="59">
        <v>3.5</v>
      </c>
      <c r="M252" s="401">
        <v>6.6</v>
      </c>
    </row>
    <row r="253" spans="1:13" ht="18" customHeight="1" x14ac:dyDescent="0.35">
      <c r="A253" s="223">
        <v>19</v>
      </c>
      <c r="B253" s="51">
        <v>25.4</v>
      </c>
      <c r="C253" s="60">
        <v>16.600000000000001</v>
      </c>
      <c r="D253" s="41">
        <f t="shared" si="45"/>
        <v>21</v>
      </c>
      <c r="E253" s="61">
        <v>13</v>
      </c>
      <c r="F253" s="400"/>
      <c r="G253" s="373">
        <v>82</v>
      </c>
      <c r="H253" s="81">
        <v>70</v>
      </c>
      <c r="I253" s="207">
        <v>80</v>
      </c>
      <c r="J253" s="225">
        <v>1.51</v>
      </c>
      <c r="K253" s="42">
        <v>1.5</v>
      </c>
      <c r="L253" s="59">
        <v>2.5</v>
      </c>
      <c r="M253" s="401">
        <v>4.9000000000000004</v>
      </c>
    </row>
    <row r="254" spans="1:13" ht="18" customHeight="1" thickBot="1" x14ac:dyDescent="0.4">
      <c r="A254" s="311">
        <v>20</v>
      </c>
      <c r="B254" s="51">
        <v>23</v>
      </c>
      <c r="C254" s="60">
        <v>15.2</v>
      </c>
      <c r="D254" s="41">
        <f t="shared" si="45"/>
        <v>19.100000000000001</v>
      </c>
      <c r="E254" s="61">
        <v>12.6</v>
      </c>
      <c r="F254" s="404"/>
      <c r="G254" s="213">
        <v>85</v>
      </c>
      <c r="H254" s="57">
        <v>69</v>
      </c>
      <c r="I254" s="57">
        <v>82</v>
      </c>
      <c r="J254" s="225">
        <v>1.72</v>
      </c>
      <c r="K254" s="42">
        <v>1.9</v>
      </c>
      <c r="L254" s="59">
        <v>3</v>
      </c>
      <c r="M254" s="405">
        <v>7.8</v>
      </c>
    </row>
    <row r="255" spans="1:13" ht="18" customHeight="1" thickBot="1" x14ac:dyDescent="0.4">
      <c r="A255" s="298" t="s">
        <v>35</v>
      </c>
      <c r="B255" s="407">
        <f>SUM(B245:B254)</f>
        <v>254.20000000000002</v>
      </c>
      <c r="C255" s="407">
        <f>SUM(C245:C254)</f>
        <v>160.6</v>
      </c>
      <c r="D255" s="408">
        <f>SUM(D245:D254)</f>
        <v>207.39999999999998</v>
      </c>
      <c r="E255" s="409">
        <f>SUM(E245:E254)</f>
        <v>133.80000000000001</v>
      </c>
      <c r="F255" s="410">
        <f>SUM(F245:F254)</f>
        <v>0</v>
      </c>
      <c r="G255" s="413">
        <f t="shared" ref="G255:M255" si="46">SUM(G245:G254)</f>
        <v>851</v>
      </c>
      <c r="H255" s="412">
        <f t="shared" si="46"/>
        <v>689</v>
      </c>
      <c r="I255" s="413">
        <f t="shared" si="46"/>
        <v>825</v>
      </c>
      <c r="J255" s="414">
        <f t="shared" si="46"/>
        <v>16.68</v>
      </c>
      <c r="K255" s="407">
        <f t="shared" si="46"/>
        <v>19.299999999999997</v>
      </c>
      <c r="L255" s="416">
        <f t="shared" si="46"/>
        <v>27.5</v>
      </c>
      <c r="M255" s="415">
        <f t="shared" si="46"/>
        <v>70.099999999999994</v>
      </c>
    </row>
    <row r="256" spans="1:13" ht="18" customHeight="1" x14ac:dyDescent="0.35">
      <c r="A256" s="316">
        <v>21</v>
      </c>
      <c r="B256" s="51">
        <v>26.4</v>
      </c>
      <c r="C256" s="60">
        <v>19.399999999999999</v>
      </c>
      <c r="D256" s="41">
        <f t="shared" ref="D256:D265" si="47">+(B256+C256)/2</f>
        <v>22.9</v>
      </c>
      <c r="E256" s="61">
        <v>16.600000000000001</v>
      </c>
      <c r="F256" s="400"/>
      <c r="G256" s="213">
        <v>85</v>
      </c>
      <c r="H256" s="57">
        <v>64</v>
      </c>
      <c r="I256" s="57">
        <v>82</v>
      </c>
      <c r="J256" s="225">
        <v>1.59</v>
      </c>
      <c r="K256" s="42">
        <v>2.6</v>
      </c>
      <c r="L256" s="59">
        <v>2.5</v>
      </c>
      <c r="M256" s="401">
        <v>7.6</v>
      </c>
    </row>
    <row r="257" spans="1:13" ht="18" customHeight="1" x14ac:dyDescent="0.35">
      <c r="A257" s="223">
        <v>22</v>
      </c>
      <c r="B257" s="51">
        <v>26</v>
      </c>
      <c r="C257" s="60">
        <v>15.4</v>
      </c>
      <c r="D257" s="41">
        <f t="shared" si="47"/>
        <v>20.7</v>
      </c>
      <c r="E257" s="53">
        <v>12.6</v>
      </c>
      <c r="F257" s="417"/>
      <c r="G257" s="213">
        <v>87</v>
      </c>
      <c r="H257" s="57">
        <v>73</v>
      </c>
      <c r="I257" s="213">
        <v>84</v>
      </c>
      <c r="J257" s="225">
        <v>1.73</v>
      </c>
      <c r="K257" s="42">
        <v>2</v>
      </c>
      <c r="L257" s="59">
        <v>3</v>
      </c>
      <c r="M257" s="401">
        <v>8</v>
      </c>
    </row>
    <row r="258" spans="1:13" ht="18" customHeight="1" x14ac:dyDescent="0.35">
      <c r="A258" s="223">
        <v>23</v>
      </c>
      <c r="B258" s="51">
        <v>26.6</v>
      </c>
      <c r="C258" s="60">
        <v>15.2</v>
      </c>
      <c r="D258" s="41">
        <f t="shared" si="47"/>
        <v>20.9</v>
      </c>
      <c r="E258" s="61">
        <v>12.4</v>
      </c>
      <c r="F258" s="417"/>
      <c r="G258" s="213">
        <v>82</v>
      </c>
      <c r="H258" s="57">
        <v>71</v>
      </c>
      <c r="I258" s="57">
        <v>79</v>
      </c>
      <c r="J258" s="225">
        <v>1.82</v>
      </c>
      <c r="K258" s="42">
        <v>2.2999999999999998</v>
      </c>
      <c r="L258" s="59">
        <v>2.5</v>
      </c>
      <c r="M258" s="418">
        <v>9.1999999999999993</v>
      </c>
    </row>
    <row r="259" spans="1:13" ht="18" customHeight="1" x14ac:dyDescent="0.35">
      <c r="A259" s="223">
        <v>24</v>
      </c>
      <c r="B259" s="51">
        <v>26.2</v>
      </c>
      <c r="C259" s="60">
        <v>19.8</v>
      </c>
      <c r="D259" s="41">
        <f t="shared" si="47"/>
        <v>23</v>
      </c>
      <c r="E259" s="61">
        <v>16.8</v>
      </c>
      <c r="F259" s="417"/>
      <c r="G259" s="213">
        <v>88</v>
      </c>
      <c r="H259" s="57">
        <v>72</v>
      </c>
      <c r="I259" s="211">
        <v>86</v>
      </c>
      <c r="J259" s="225">
        <v>1.9</v>
      </c>
      <c r="K259" s="42">
        <v>2</v>
      </c>
      <c r="L259" s="59">
        <v>3</v>
      </c>
      <c r="M259" s="418">
        <v>6.6</v>
      </c>
    </row>
    <row r="260" spans="1:13" ht="18" customHeight="1" x14ac:dyDescent="0.35">
      <c r="A260" s="223">
        <v>25</v>
      </c>
      <c r="B260" s="51">
        <v>25</v>
      </c>
      <c r="C260" s="60">
        <v>20.6</v>
      </c>
      <c r="D260" s="41">
        <f t="shared" si="47"/>
        <v>22.8</v>
      </c>
      <c r="E260" s="53">
        <v>18.399999999999999</v>
      </c>
      <c r="F260" s="417"/>
      <c r="G260" s="213">
        <v>84</v>
      </c>
      <c r="H260" s="57">
        <v>70</v>
      </c>
      <c r="I260" s="213">
        <v>81</v>
      </c>
      <c r="J260" s="225">
        <v>2.06</v>
      </c>
      <c r="K260" s="42">
        <v>2.1</v>
      </c>
      <c r="L260" s="59">
        <v>3.5</v>
      </c>
      <c r="M260" s="418">
        <v>7.5</v>
      </c>
    </row>
    <row r="261" spans="1:13" ht="18" customHeight="1" x14ac:dyDescent="0.35">
      <c r="A261" s="223">
        <v>26</v>
      </c>
      <c r="B261" s="51">
        <v>25.6</v>
      </c>
      <c r="C261" s="60">
        <v>14.8</v>
      </c>
      <c r="D261" s="41">
        <f t="shared" si="47"/>
        <v>20.200000000000003</v>
      </c>
      <c r="E261" s="53">
        <v>13</v>
      </c>
      <c r="F261" s="417"/>
      <c r="G261" s="213">
        <v>87</v>
      </c>
      <c r="H261" s="57">
        <v>74</v>
      </c>
      <c r="I261" s="57">
        <v>84</v>
      </c>
      <c r="J261" s="225">
        <v>2.61</v>
      </c>
      <c r="K261" s="42">
        <v>2.7</v>
      </c>
      <c r="L261" s="59">
        <v>4.5</v>
      </c>
      <c r="M261" s="418">
        <v>3.2</v>
      </c>
    </row>
    <row r="262" spans="1:13" ht="18" customHeight="1" x14ac:dyDescent="0.35">
      <c r="A262" s="223">
        <v>27</v>
      </c>
      <c r="B262" s="51">
        <v>25.8</v>
      </c>
      <c r="C262" s="60">
        <v>19.600000000000001</v>
      </c>
      <c r="D262" s="41">
        <f t="shared" si="47"/>
        <v>22.700000000000003</v>
      </c>
      <c r="E262" s="53">
        <v>17.2</v>
      </c>
      <c r="F262" s="417"/>
      <c r="G262" s="213">
        <v>84</v>
      </c>
      <c r="H262" s="57">
        <v>70</v>
      </c>
      <c r="I262" s="213">
        <v>81</v>
      </c>
      <c r="J262" s="225">
        <v>1.48</v>
      </c>
      <c r="K262" s="42">
        <v>1.5</v>
      </c>
      <c r="L262" s="59">
        <v>2.5</v>
      </c>
      <c r="M262" s="418">
        <v>7.6</v>
      </c>
    </row>
    <row r="263" spans="1:13" ht="18" customHeight="1" x14ac:dyDescent="0.35">
      <c r="A263" s="223">
        <v>28</v>
      </c>
      <c r="B263" s="51">
        <v>27.4</v>
      </c>
      <c r="C263" s="60">
        <v>16.600000000000001</v>
      </c>
      <c r="D263" s="41">
        <f t="shared" si="47"/>
        <v>22</v>
      </c>
      <c r="E263" s="53">
        <v>14.2</v>
      </c>
      <c r="F263" s="417"/>
      <c r="G263" s="213">
        <v>89</v>
      </c>
      <c r="H263" s="57">
        <v>74</v>
      </c>
      <c r="I263" s="213">
        <v>84</v>
      </c>
      <c r="J263" s="225">
        <v>2.0699999999999998</v>
      </c>
      <c r="K263" s="42">
        <v>2</v>
      </c>
      <c r="L263" s="59">
        <v>3.5</v>
      </c>
      <c r="M263" s="418">
        <v>8.8000000000000007</v>
      </c>
    </row>
    <row r="264" spans="1:13" ht="18" customHeight="1" x14ac:dyDescent="0.35">
      <c r="A264" s="223">
        <v>29</v>
      </c>
      <c r="B264" s="51">
        <v>26.6</v>
      </c>
      <c r="C264" s="60">
        <v>15.6</v>
      </c>
      <c r="D264" s="41">
        <f t="shared" si="47"/>
        <v>21.1</v>
      </c>
      <c r="E264" s="53">
        <v>14</v>
      </c>
      <c r="F264" s="417"/>
      <c r="G264" s="213">
        <v>85</v>
      </c>
      <c r="H264" s="57">
        <v>64</v>
      </c>
      <c r="I264" s="57">
        <v>82</v>
      </c>
      <c r="J264" s="225">
        <v>1.85</v>
      </c>
      <c r="K264" s="42">
        <v>1.6</v>
      </c>
      <c r="L264" s="59">
        <v>2.5</v>
      </c>
      <c r="M264" s="418">
        <v>8.3000000000000007</v>
      </c>
    </row>
    <row r="265" spans="1:13" ht="18" customHeight="1" x14ac:dyDescent="0.35">
      <c r="A265" s="223">
        <v>30</v>
      </c>
      <c r="B265" s="51">
        <v>27</v>
      </c>
      <c r="C265" s="60">
        <v>16</v>
      </c>
      <c r="D265" s="41">
        <f t="shared" si="47"/>
        <v>21.5</v>
      </c>
      <c r="E265" s="53">
        <v>14.4</v>
      </c>
      <c r="F265" s="417"/>
      <c r="G265" s="213">
        <v>87</v>
      </c>
      <c r="H265" s="57">
        <v>71</v>
      </c>
      <c r="I265" s="57">
        <v>84</v>
      </c>
      <c r="J265" s="225">
        <v>1.92</v>
      </c>
      <c r="K265" s="42">
        <v>2.2000000000000002</v>
      </c>
      <c r="L265" s="59">
        <v>3.5</v>
      </c>
      <c r="M265" s="418">
        <v>9</v>
      </c>
    </row>
    <row r="266" spans="1:13" ht="18" customHeight="1" thickBot="1" x14ac:dyDescent="0.4">
      <c r="A266" s="311">
        <v>31</v>
      </c>
      <c r="B266" s="419"/>
      <c r="C266" s="420"/>
      <c r="D266" s="421"/>
      <c r="E266" s="422"/>
      <c r="F266" s="421"/>
      <c r="G266" s="423"/>
      <c r="H266" s="424"/>
      <c r="I266" s="425"/>
      <c r="J266" s="426"/>
      <c r="K266" s="419"/>
      <c r="L266" s="427"/>
      <c r="M266" s="428"/>
    </row>
    <row r="267" spans="1:13" ht="18" customHeight="1" thickBot="1" x14ac:dyDescent="0.4">
      <c r="A267" s="329" t="s">
        <v>35</v>
      </c>
      <c r="B267" s="382">
        <f>SUM(B256:B266)</f>
        <v>262.60000000000002</v>
      </c>
      <c r="C267" s="382">
        <f>SUM(C256:C266)</f>
        <v>173</v>
      </c>
      <c r="D267" s="382">
        <f>SUM(D256:D266)</f>
        <v>217.79999999999998</v>
      </c>
      <c r="E267" s="382">
        <f>SUM(E256:E266)</f>
        <v>149.60000000000002</v>
      </c>
      <c r="F267" s="387">
        <f>SUM(F256:F266)</f>
        <v>0</v>
      </c>
      <c r="G267" s="429">
        <f t="shared" ref="G267:M267" si="48">SUM(G256:G266)</f>
        <v>858</v>
      </c>
      <c r="H267" s="384">
        <f t="shared" si="48"/>
        <v>703</v>
      </c>
      <c r="I267" s="430">
        <f t="shared" si="48"/>
        <v>827</v>
      </c>
      <c r="J267" s="431">
        <f t="shared" si="48"/>
        <v>19.03</v>
      </c>
      <c r="K267" s="382">
        <f t="shared" si="48"/>
        <v>21</v>
      </c>
      <c r="L267" s="387">
        <f t="shared" si="48"/>
        <v>31</v>
      </c>
      <c r="M267" s="432">
        <f t="shared" si="48"/>
        <v>75.8</v>
      </c>
    </row>
    <row r="268" spans="1:13" ht="18" customHeight="1" thickBot="1" x14ac:dyDescent="0.4">
      <c r="A268" s="335" t="s">
        <v>36</v>
      </c>
      <c r="B268" s="249">
        <f>B267+B255+B244</f>
        <v>759.2</v>
      </c>
      <c r="C268" s="249">
        <f t="shared" ref="C268:M268" si="49">C267+C255+C244</f>
        <v>481.20000000000005</v>
      </c>
      <c r="D268" s="249">
        <f t="shared" si="49"/>
        <v>620.19999999999993</v>
      </c>
      <c r="E268" s="249">
        <f t="shared" si="49"/>
        <v>406.6</v>
      </c>
      <c r="F268" s="249">
        <f t="shared" si="49"/>
        <v>6.8</v>
      </c>
      <c r="G268" s="249">
        <f t="shared" si="49"/>
        <v>2595</v>
      </c>
      <c r="H268" s="249">
        <f t="shared" si="49"/>
        <v>2115</v>
      </c>
      <c r="I268" s="249">
        <f t="shared" si="49"/>
        <v>2508</v>
      </c>
      <c r="J268" s="249">
        <f t="shared" si="49"/>
        <v>53.019999999999996</v>
      </c>
      <c r="K268" s="249">
        <f t="shared" si="49"/>
        <v>61</v>
      </c>
      <c r="L268" s="249">
        <f t="shared" si="49"/>
        <v>89.5</v>
      </c>
      <c r="M268" s="249">
        <f t="shared" si="49"/>
        <v>188.2</v>
      </c>
    </row>
    <row r="269" spans="1:13" ht="18" customHeight="1" thickBot="1" x14ac:dyDescent="0.4">
      <c r="A269" s="337" t="s">
        <v>19</v>
      </c>
      <c r="B269" s="259">
        <f>B268/30</f>
        <v>25.306666666666668</v>
      </c>
      <c r="C269" s="259">
        <f t="shared" ref="C269:J269" si="50">C268/30</f>
        <v>16.040000000000003</v>
      </c>
      <c r="D269" s="259">
        <f t="shared" si="50"/>
        <v>20.673333333333332</v>
      </c>
      <c r="E269" s="259">
        <f t="shared" si="50"/>
        <v>13.553333333333335</v>
      </c>
      <c r="F269" s="433" t="s">
        <v>48</v>
      </c>
      <c r="G269" s="434">
        <f t="shared" si="50"/>
        <v>86.5</v>
      </c>
      <c r="H269" s="389">
        <f t="shared" si="50"/>
        <v>70.5</v>
      </c>
      <c r="I269" s="389">
        <f t="shared" si="50"/>
        <v>83.6</v>
      </c>
      <c r="J269" s="390">
        <f t="shared" si="50"/>
        <v>1.7673333333333332</v>
      </c>
      <c r="K269" s="267"/>
      <c r="L269" s="342"/>
      <c r="M269" s="435"/>
    </row>
    <row r="270" spans="1:13" ht="15" thickBot="1" x14ac:dyDescent="0.4">
      <c r="F270" s="4"/>
      <c r="G270" s="4"/>
      <c r="H270" s="4"/>
      <c r="I270" s="4"/>
      <c r="J270" s="4"/>
      <c r="K270" s="4"/>
      <c r="L270" s="4"/>
      <c r="M270" s="4"/>
    </row>
    <row r="271" spans="1:13" ht="16" thickBot="1" x14ac:dyDescent="0.4">
      <c r="A271" s="1" t="s">
        <v>0</v>
      </c>
      <c r="B271" s="436"/>
      <c r="C271" s="436"/>
      <c r="D271" s="436"/>
      <c r="E271" s="436"/>
      <c r="F271" s="3"/>
      <c r="G271" s="4"/>
      <c r="H271" s="4"/>
      <c r="I271" s="4"/>
      <c r="J271" s="4"/>
      <c r="K271" s="4"/>
      <c r="L271" s="4"/>
      <c r="M271" s="4"/>
    </row>
    <row r="272" spans="1:13" ht="15.5" x14ac:dyDescent="0.35">
      <c r="A272" s="5" t="s">
        <v>2</v>
      </c>
      <c r="B272" s="6"/>
      <c r="C272" s="6"/>
      <c r="D272" s="6"/>
      <c r="E272" s="6"/>
      <c r="F272" s="7"/>
      <c r="G272" s="4"/>
      <c r="H272" s="4"/>
      <c r="I272" s="1" t="s">
        <v>3</v>
      </c>
      <c r="J272" s="2"/>
      <c r="K272" s="2"/>
      <c r="L272" s="2"/>
      <c r="M272" s="8"/>
    </row>
    <row r="273" spans="1:13" ht="15.5" x14ac:dyDescent="0.35">
      <c r="A273" s="5" t="s">
        <v>4</v>
      </c>
      <c r="B273" s="6"/>
      <c r="C273" s="6"/>
      <c r="D273" s="6"/>
      <c r="E273" s="6"/>
      <c r="F273" s="7"/>
      <c r="G273" s="4"/>
      <c r="H273" s="4"/>
      <c r="I273" s="5" t="s">
        <v>5</v>
      </c>
      <c r="J273" s="6"/>
      <c r="K273" s="6"/>
      <c r="L273" s="9"/>
      <c r="M273" s="344"/>
    </row>
    <row r="274" spans="1:13" ht="16" thickBot="1" x14ac:dyDescent="0.4">
      <c r="A274" s="11" t="s">
        <v>6</v>
      </c>
      <c r="B274" s="12"/>
      <c r="C274" s="12"/>
      <c r="D274" s="12"/>
      <c r="E274" s="12"/>
      <c r="F274" s="13"/>
      <c r="G274" s="4"/>
      <c r="H274" s="4"/>
      <c r="I274" s="11" t="s">
        <v>7</v>
      </c>
      <c r="J274" s="12"/>
      <c r="K274" s="12"/>
      <c r="L274" s="345" t="s">
        <v>49</v>
      </c>
      <c r="M274" s="346"/>
    </row>
    <row r="275" spans="1:13" ht="26" thickBot="1" x14ac:dyDescent="0.65">
      <c r="A275" s="17" t="s">
        <v>39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8" customHeight="1" x14ac:dyDescent="0.35">
      <c r="A276" s="915" t="s">
        <v>10</v>
      </c>
      <c r="B276" s="918" t="s">
        <v>11</v>
      </c>
      <c r="C276" s="919"/>
      <c r="D276" s="919"/>
      <c r="E276" s="920"/>
      <c r="F276" s="132" t="s">
        <v>12</v>
      </c>
      <c r="G276" s="918" t="s">
        <v>13</v>
      </c>
      <c r="H276" s="919"/>
      <c r="I276" s="920"/>
      <c r="J276" s="129" t="s">
        <v>14</v>
      </c>
      <c r="K276" s="918" t="s">
        <v>15</v>
      </c>
      <c r="L276" s="920"/>
      <c r="M276" s="132" t="s">
        <v>16</v>
      </c>
    </row>
    <row r="277" spans="1:13" ht="18" customHeight="1" thickBot="1" x14ac:dyDescent="0.4">
      <c r="A277" s="916"/>
      <c r="B277" s="134" t="s">
        <v>17</v>
      </c>
      <c r="C277" s="135" t="s">
        <v>18</v>
      </c>
      <c r="D277" s="135" t="s">
        <v>19</v>
      </c>
      <c r="E277" s="136" t="s">
        <v>18</v>
      </c>
      <c r="F277" s="140" t="s">
        <v>20</v>
      </c>
      <c r="G277" s="924" t="s">
        <v>21</v>
      </c>
      <c r="H277" s="925"/>
      <c r="I277" s="926"/>
      <c r="J277" s="138" t="s">
        <v>22</v>
      </c>
      <c r="K277" s="924" t="s">
        <v>23</v>
      </c>
      <c r="L277" s="926"/>
      <c r="M277" s="140" t="s">
        <v>24</v>
      </c>
    </row>
    <row r="278" spans="1:13" ht="18" customHeight="1" thickBot="1" x14ac:dyDescent="0.4">
      <c r="A278" s="917"/>
      <c r="B278" s="437" t="s">
        <v>25</v>
      </c>
      <c r="C278" s="147" t="s">
        <v>25</v>
      </c>
      <c r="D278" s="147"/>
      <c r="E278" s="148" t="s">
        <v>26</v>
      </c>
      <c r="F278" s="150" t="s">
        <v>27</v>
      </c>
      <c r="G278" s="146" t="s">
        <v>28</v>
      </c>
      <c r="H278" s="147" t="s">
        <v>29</v>
      </c>
      <c r="I278" s="148" t="s">
        <v>30</v>
      </c>
      <c r="J278" s="270" t="s">
        <v>31</v>
      </c>
      <c r="K278" s="438" t="s">
        <v>32</v>
      </c>
      <c r="L278" s="144" t="s">
        <v>33</v>
      </c>
      <c r="M278" s="150" t="s">
        <v>34</v>
      </c>
    </row>
    <row r="279" spans="1:13" ht="18" customHeight="1" x14ac:dyDescent="0.35">
      <c r="A279" s="204">
        <v>1</v>
      </c>
      <c r="B279" s="439">
        <v>27</v>
      </c>
      <c r="C279" s="440">
        <v>22.2</v>
      </c>
      <c r="D279" s="441">
        <f>(B279+C279)/2</f>
        <v>24.6</v>
      </c>
      <c r="E279" s="442">
        <v>19.8</v>
      </c>
      <c r="F279" s="443"/>
      <c r="G279" s="444">
        <v>96</v>
      </c>
      <c r="H279" s="445">
        <v>76</v>
      </c>
      <c r="I279" s="444">
        <v>87</v>
      </c>
      <c r="J279" s="446">
        <v>1.94</v>
      </c>
      <c r="K279" s="442">
        <v>1.9</v>
      </c>
      <c r="L279" s="447">
        <v>3</v>
      </c>
      <c r="M279" s="448">
        <v>9.4</v>
      </c>
    </row>
    <row r="280" spans="1:13" ht="18" customHeight="1" x14ac:dyDescent="0.35">
      <c r="A280" s="209">
        <v>2</v>
      </c>
      <c r="B280" s="439">
        <v>28.6</v>
      </c>
      <c r="C280" s="440">
        <v>20.399999999999999</v>
      </c>
      <c r="D280" s="441">
        <f t="shared" ref="D280:D288" si="51">(B280+C280)/2</f>
        <v>24.5</v>
      </c>
      <c r="E280" s="449">
        <v>18.2</v>
      </c>
      <c r="F280" s="447"/>
      <c r="G280" s="444">
        <v>89</v>
      </c>
      <c r="H280" s="445">
        <v>68</v>
      </c>
      <c r="I280" s="444">
        <v>82</v>
      </c>
      <c r="J280" s="450">
        <v>2.0499999999999998</v>
      </c>
      <c r="K280" s="449">
        <v>1.8</v>
      </c>
      <c r="L280" s="451">
        <v>3</v>
      </c>
      <c r="M280" s="448">
        <v>8.8000000000000007</v>
      </c>
    </row>
    <row r="281" spans="1:13" ht="18" customHeight="1" x14ac:dyDescent="0.35">
      <c r="A281" s="209">
        <v>3</v>
      </c>
      <c r="B281" s="439">
        <v>30.2</v>
      </c>
      <c r="C281" s="440">
        <v>20.399999999999999</v>
      </c>
      <c r="D281" s="441">
        <f t="shared" si="51"/>
        <v>25.299999999999997</v>
      </c>
      <c r="E281" s="449">
        <v>17.8</v>
      </c>
      <c r="F281" s="447"/>
      <c r="G281" s="444">
        <v>86</v>
      </c>
      <c r="H281" s="445">
        <v>57</v>
      </c>
      <c r="I281" s="444">
        <v>83</v>
      </c>
      <c r="J281" s="450">
        <v>1.95</v>
      </c>
      <c r="K281" s="449">
        <v>1.6</v>
      </c>
      <c r="L281" s="451">
        <v>2.5</v>
      </c>
      <c r="M281" s="448">
        <v>8.9</v>
      </c>
    </row>
    <row r="282" spans="1:13" ht="18" customHeight="1" x14ac:dyDescent="0.35">
      <c r="A282" s="209">
        <v>4</v>
      </c>
      <c r="B282" s="439">
        <v>29.6</v>
      </c>
      <c r="C282" s="440">
        <v>19.2</v>
      </c>
      <c r="D282" s="441">
        <f t="shared" si="51"/>
        <v>24.4</v>
      </c>
      <c r="E282" s="452">
        <v>17.399999999999999</v>
      </c>
      <c r="F282" s="447"/>
      <c r="G282" s="444">
        <v>86</v>
      </c>
      <c r="H282" s="445">
        <v>56</v>
      </c>
      <c r="I282" s="444">
        <v>78</v>
      </c>
      <c r="J282" s="450">
        <v>1.89</v>
      </c>
      <c r="K282" s="449">
        <v>2.5</v>
      </c>
      <c r="L282" s="451">
        <v>4</v>
      </c>
      <c r="M282" s="448">
        <v>8.4</v>
      </c>
    </row>
    <row r="283" spans="1:13" ht="18" customHeight="1" x14ac:dyDescent="0.35">
      <c r="A283" s="209">
        <v>5</v>
      </c>
      <c r="B283" s="439">
        <v>30.2</v>
      </c>
      <c r="C283" s="440">
        <v>20.6</v>
      </c>
      <c r="D283" s="441">
        <f t="shared" si="51"/>
        <v>25.4</v>
      </c>
      <c r="E283" s="452">
        <v>17.8</v>
      </c>
      <c r="F283" s="447"/>
      <c r="G283" s="444">
        <v>84</v>
      </c>
      <c r="H283" s="445">
        <v>56</v>
      </c>
      <c r="I283" s="444">
        <v>80</v>
      </c>
      <c r="J283" s="450">
        <v>2.0299999999999998</v>
      </c>
      <c r="K283" s="449">
        <v>1.7</v>
      </c>
      <c r="L283" s="451">
        <v>3</v>
      </c>
      <c r="M283" s="448">
        <v>8.4</v>
      </c>
    </row>
    <row r="284" spans="1:13" ht="18" customHeight="1" x14ac:dyDescent="0.35">
      <c r="A284" s="209">
        <v>6</v>
      </c>
      <c r="B284" s="439">
        <v>31.8</v>
      </c>
      <c r="C284" s="440">
        <v>19.600000000000001</v>
      </c>
      <c r="D284" s="441">
        <f t="shared" si="51"/>
        <v>25.700000000000003</v>
      </c>
      <c r="E284" s="452">
        <v>16.600000000000001</v>
      </c>
      <c r="F284" s="447"/>
      <c r="G284" s="444">
        <v>87</v>
      </c>
      <c r="H284" s="445">
        <v>43</v>
      </c>
      <c r="I284" s="444">
        <v>82</v>
      </c>
      <c r="J284" s="450">
        <v>1.98</v>
      </c>
      <c r="K284" s="449">
        <v>1.6</v>
      </c>
      <c r="L284" s="451">
        <v>2.5</v>
      </c>
      <c r="M284" s="448">
        <v>9.6999999999999993</v>
      </c>
    </row>
    <row r="285" spans="1:13" ht="18" customHeight="1" x14ac:dyDescent="0.35">
      <c r="A285" s="209">
        <v>7</v>
      </c>
      <c r="B285" s="439">
        <v>29.8</v>
      </c>
      <c r="C285" s="440">
        <v>18</v>
      </c>
      <c r="D285" s="441">
        <f t="shared" si="51"/>
        <v>23.9</v>
      </c>
      <c r="E285" s="452">
        <v>15.8</v>
      </c>
      <c r="F285" s="447"/>
      <c r="G285" s="444">
        <v>84</v>
      </c>
      <c r="H285" s="445">
        <v>66</v>
      </c>
      <c r="I285" s="444">
        <v>82</v>
      </c>
      <c r="J285" s="450">
        <v>2.89</v>
      </c>
      <c r="K285" s="449">
        <v>2.5</v>
      </c>
      <c r="L285" s="451">
        <v>4</v>
      </c>
      <c r="M285" s="448">
        <v>9.8000000000000007</v>
      </c>
    </row>
    <row r="286" spans="1:13" ht="18" customHeight="1" x14ac:dyDescent="0.35">
      <c r="A286" s="209">
        <v>8</v>
      </c>
      <c r="B286" s="439">
        <v>27.4</v>
      </c>
      <c r="C286" s="440">
        <v>16.2</v>
      </c>
      <c r="D286" s="441">
        <f t="shared" si="51"/>
        <v>21.799999999999997</v>
      </c>
      <c r="E286" s="452">
        <v>14.2</v>
      </c>
      <c r="F286" s="447"/>
      <c r="G286" s="444">
        <v>85</v>
      </c>
      <c r="H286" s="445">
        <v>65</v>
      </c>
      <c r="I286" s="444">
        <v>83</v>
      </c>
      <c r="J286" s="450">
        <v>0.83</v>
      </c>
      <c r="K286" s="449">
        <v>0.8</v>
      </c>
      <c r="L286" s="451">
        <v>1.5</v>
      </c>
      <c r="M286" s="448">
        <v>9.3000000000000007</v>
      </c>
    </row>
    <row r="287" spans="1:13" ht="18" customHeight="1" x14ac:dyDescent="0.35">
      <c r="A287" s="209">
        <v>9</v>
      </c>
      <c r="B287" s="439">
        <v>29</v>
      </c>
      <c r="C287" s="440">
        <v>23</v>
      </c>
      <c r="D287" s="441">
        <f t="shared" si="51"/>
        <v>26</v>
      </c>
      <c r="E287" s="452">
        <v>20.6</v>
      </c>
      <c r="F287" s="447"/>
      <c r="G287" s="444">
        <v>83</v>
      </c>
      <c r="H287" s="445">
        <v>66</v>
      </c>
      <c r="I287" s="444">
        <v>78</v>
      </c>
      <c r="J287" s="450">
        <v>1.79</v>
      </c>
      <c r="K287" s="449">
        <v>1.6</v>
      </c>
      <c r="L287" s="451">
        <v>2.5</v>
      </c>
      <c r="M287" s="448">
        <v>9.1999999999999993</v>
      </c>
    </row>
    <row r="288" spans="1:13" ht="18" customHeight="1" thickBot="1" x14ac:dyDescent="0.4">
      <c r="A288" s="214">
        <v>10</v>
      </c>
      <c r="B288" s="439">
        <v>29.8</v>
      </c>
      <c r="C288" s="440">
        <v>18.600000000000001</v>
      </c>
      <c r="D288" s="441">
        <f t="shared" si="51"/>
        <v>24.200000000000003</v>
      </c>
      <c r="E288" s="449">
        <v>16.2</v>
      </c>
      <c r="F288" s="453"/>
      <c r="G288" s="444">
        <v>85</v>
      </c>
      <c r="H288" s="445">
        <v>71</v>
      </c>
      <c r="I288" s="444">
        <v>84</v>
      </c>
      <c r="J288" s="450">
        <v>1.73</v>
      </c>
      <c r="K288" s="449">
        <v>1.5</v>
      </c>
      <c r="L288" s="451">
        <v>2.5</v>
      </c>
      <c r="M288" s="454">
        <v>9.3000000000000007</v>
      </c>
    </row>
    <row r="289" spans="1:13" ht="18" customHeight="1" thickBot="1" x14ac:dyDescent="0.4">
      <c r="A289" s="298" t="s">
        <v>35</v>
      </c>
      <c r="B289" s="455">
        <f>SUM(B279:B288)</f>
        <v>293.40000000000003</v>
      </c>
      <c r="C289" s="455">
        <f>SUM(C279:C288)</f>
        <v>198.19999999999996</v>
      </c>
      <c r="D289" s="456">
        <f>SUM(D279:D288)</f>
        <v>245.8</v>
      </c>
      <c r="E289" s="457">
        <f>SUM(E279:E288)</f>
        <v>174.39999999999998</v>
      </c>
      <c r="F289" s="458"/>
      <c r="G289" s="455">
        <f t="shared" ref="G289:L289" si="52">SUM(G279:G288)</f>
        <v>865</v>
      </c>
      <c r="H289" s="455">
        <f t="shared" si="52"/>
        <v>624</v>
      </c>
      <c r="I289" s="457">
        <f t="shared" si="52"/>
        <v>819</v>
      </c>
      <c r="J289" s="459">
        <f t="shared" si="52"/>
        <v>19.080000000000002</v>
      </c>
      <c r="K289" s="460">
        <f t="shared" si="52"/>
        <v>17.5</v>
      </c>
      <c r="L289" s="457">
        <f t="shared" si="52"/>
        <v>28.5</v>
      </c>
      <c r="M289" s="457">
        <f>SUM(M279:M288)</f>
        <v>91.199999999999989</v>
      </c>
    </row>
    <row r="290" spans="1:13" ht="18" customHeight="1" x14ac:dyDescent="0.35">
      <c r="A290" s="306">
        <v>11</v>
      </c>
      <c r="B290" s="439">
        <v>30.4</v>
      </c>
      <c r="C290" s="440">
        <v>18.600000000000001</v>
      </c>
      <c r="D290" s="441">
        <f t="shared" ref="D290:D299" si="53">(B290+C290)/2</f>
        <v>24.5</v>
      </c>
      <c r="E290" s="449">
        <v>16.8</v>
      </c>
      <c r="F290" s="447"/>
      <c r="G290" s="444">
        <v>90</v>
      </c>
      <c r="H290" s="445">
        <v>67</v>
      </c>
      <c r="I290" s="444">
        <v>85</v>
      </c>
      <c r="J290" s="450">
        <v>1.6</v>
      </c>
      <c r="K290" s="449">
        <v>1.4</v>
      </c>
      <c r="L290" s="451">
        <v>2</v>
      </c>
      <c r="M290" s="451">
        <v>8.8000000000000007</v>
      </c>
    </row>
    <row r="291" spans="1:13" ht="18" customHeight="1" x14ac:dyDescent="0.35">
      <c r="A291" s="209">
        <v>12</v>
      </c>
      <c r="B291" s="439">
        <v>35.4</v>
      </c>
      <c r="C291" s="440">
        <v>18.399999999999999</v>
      </c>
      <c r="D291" s="441">
        <f t="shared" si="53"/>
        <v>26.9</v>
      </c>
      <c r="E291" s="452">
        <v>16.2</v>
      </c>
      <c r="F291" s="447"/>
      <c r="G291" s="444">
        <v>83</v>
      </c>
      <c r="H291" s="445">
        <v>50</v>
      </c>
      <c r="I291" s="444">
        <v>81</v>
      </c>
      <c r="J291" s="450">
        <v>1.88</v>
      </c>
      <c r="K291" s="442">
        <v>1.4</v>
      </c>
      <c r="L291" s="451">
        <v>2.5</v>
      </c>
      <c r="M291" s="451">
        <v>8.1</v>
      </c>
    </row>
    <row r="292" spans="1:13" ht="18" customHeight="1" x14ac:dyDescent="0.35">
      <c r="A292" s="209">
        <v>13</v>
      </c>
      <c r="B292" s="439">
        <v>32.200000000000003</v>
      </c>
      <c r="C292" s="440">
        <v>17.399999999999999</v>
      </c>
      <c r="D292" s="441">
        <f t="shared" si="53"/>
        <v>24.8</v>
      </c>
      <c r="E292" s="452">
        <v>15.6</v>
      </c>
      <c r="F292" s="447"/>
      <c r="G292" s="444">
        <v>84</v>
      </c>
      <c r="H292" s="445">
        <v>61</v>
      </c>
      <c r="I292" s="444">
        <v>79</v>
      </c>
      <c r="J292" s="450">
        <v>1.42</v>
      </c>
      <c r="K292" s="442">
        <v>1.1000000000000001</v>
      </c>
      <c r="L292" s="451">
        <v>2</v>
      </c>
      <c r="M292" s="451">
        <v>9.6</v>
      </c>
    </row>
    <row r="293" spans="1:13" ht="18" customHeight="1" x14ac:dyDescent="0.35">
      <c r="A293" s="209">
        <v>14</v>
      </c>
      <c r="B293" s="439">
        <v>31.8</v>
      </c>
      <c r="C293" s="440">
        <v>17.399999999999999</v>
      </c>
      <c r="D293" s="441">
        <f t="shared" si="53"/>
        <v>24.6</v>
      </c>
      <c r="E293" s="452">
        <v>15.4</v>
      </c>
      <c r="F293" s="447"/>
      <c r="G293" s="444">
        <v>95</v>
      </c>
      <c r="H293" s="445">
        <v>60</v>
      </c>
      <c r="I293" s="444">
        <v>85</v>
      </c>
      <c r="J293" s="450">
        <v>1.87</v>
      </c>
      <c r="K293" s="442">
        <v>1.5</v>
      </c>
      <c r="L293" s="451">
        <v>2.5</v>
      </c>
      <c r="M293" s="451">
        <v>9.4</v>
      </c>
    </row>
    <row r="294" spans="1:13" ht="18" customHeight="1" x14ac:dyDescent="0.35">
      <c r="A294" s="209">
        <v>15</v>
      </c>
      <c r="B294" s="439">
        <v>33.6</v>
      </c>
      <c r="C294" s="440">
        <v>22</v>
      </c>
      <c r="D294" s="441">
        <f t="shared" si="53"/>
        <v>27.8</v>
      </c>
      <c r="E294" s="452">
        <v>19.8</v>
      </c>
      <c r="F294" s="447"/>
      <c r="G294" s="444">
        <v>90</v>
      </c>
      <c r="H294" s="445">
        <v>61</v>
      </c>
      <c r="I294" s="444">
        <v>80</v>
      </c>
      <c r="J294" s="450">
        <v>1.96</v>
      </c>
      <c r="K294" s="442">
        <v>2</v>
      </c>
      <c r="L294" s="451">
        <v>2.5</v>
      </c>
      <c r="M294" s="451">
        <v>9.5</v>
      </c>
    </row>
    <row r="295" spans="1:13" ht="18" customHeight="1" x14ac:dyDescent="0.35">
      <c r="A295" s="209">
        <v>16</v>
      </c>
      <c r="B295" s="439">
        <v>30</v>
      </c>
      <c r="C295" s="440">
        <v>16.600000000000001</v>
      </c>
      <c r="D295" s="441">
        <f t="shared" si="53"/>
        <v>23.3</v>
      </c>
      <c r="E295" s="452">
        <v>14.2</v>
      </c>
      <c r="F295" s="447"/>
      <c r="G295" s="461">
        <v>89</v>
      </c>
      <c r="H295" s="445">
        <v>58</v>
      </c>
      <c r="I295" s="444">
        <v>84</v>
      </c>
      <c r="J295" s="450">
        <v>1.92</v>
      </c>
      <c r="K295" s="442">
        <v>1.7</v>
      </c>
      <c r="L295" s="451">
        <v>3</v>
      </c>
      <c r="M295" s="451">
        <v>9.8000000000000007</v>
      </c>
    </row>
    <row r="296" spans="1:13" ht="18" customHeight="1" x14ac:dyDescent="0.35">
      <c r="A296" s="209">
        <v>17</v>
      </c>
      <c r="B296" s="439">
        <v>34.4</v>
      </c>
      <c r="C296" s="440">
        <v>17.600000000000001</v>
      </c>
      <c r="D296" s="441">
        <f t="shared" si="53"/>
        <v>26</v>
      </c>
      <c r="E296" s="452">
        <v>14.6</v>
      </c>
      <c r="F296" s="447"/>
      <c r="G296" s="444">
        <v>84</v>
      </c>
      <c r="H296" s="445">
        <v>61</v>
      </c>
      <c r="I296" s="444">
        <v>82</v>
      </c>
      <c r="J296" s="450">
        <v>2.2400000000000002</v>
      </c>
      <c r="K296" s="442">
        <v>1.2</v>
      </c>
      <c r="L296" s="451">
        <v>2</v>
      </c>
      <c r="M296" s="451">
        <v>7.7</v>
      </c>
    </row>
    <row r="297" spans="1:13" ht="18" customHeight="1" x14ac:dyDescent="0.35">
      <c r="A297" s="209">
        <v>18</v>
      </c>
      <c r="B297" s="439">
        <v>30.6</v>
      </c>
      <c r="C297" s="440">
        <v>18.399999999999999</v>
      </c>
      <c r="D297" s="441">
        <f t="shared" si="53"/>
        <v>24.5</v>
      </c>
      <c r="E297" s="449">
        <v>16</v>
      </c>
      <c r="F297" s="447"/>
      <c r="G297" s="444">
        <v>86</v>
      </c>
      <c r="H297" s="462">
        <v>42</v>
      </c>
      <c r="I297" s="444">
        <v>82</v>
      </c>
      <c r="J297" s="450">
        <v>2</v>
      </c>
      <c r="K297" s="442">
        <v>1.5</v>
      </c>
      <c r="L297" s="451">
        <v>3</v>
      </c>
      <c r="M297" s="451">
        <v>6</v>
      </c>
    </row>
    <row r="298" spans="1:13" ht="18" customHeight="1" x14ac:dyDescent="0.35">
      <c r="A298" s="209">
        <v>19</v>
      </c>
      <c r="B298" s="439">
        <v>29</v>
      </c>
      <c r="C298" s="440">
        <v>19.600000000000001</v>
      </c>
      <c r="D298" s="441">
        <f t="shared" si="53"/>
        <v>24.3</v>
      </c>
      <c r="E298" s="452">
        <v>17.2</v>
      </c>
      <c r="F298" s="447"/>
      <c r="G298" s="444">
        <v>88</v>
      </c>
      <c r="H298" s="445">
        <v>65</v>
      </c>
      <c r="I298" s="444">
        <v>80</v>
      </c>
      <c r="J298" s="450">
        <v>1.62</v>
      </c>
      <c r="K298" s="442">
        <v>1.5</v>
      </c>
      <c r="L298" s="451">
        <v>2.5</v>
      </c>
      <c r="M298" s="451">
        <v>10.4</v>
      </c>
    </row>
    <row r="299" spans="1:13" ht="18" customHeight="1" thickBot="1" x14ac:dyDescent="0.4">
      <c r="A299" s="214">
        <v>20</v>
      </c>
      <c r="B299" s="439">
        <v>35.200000000000003</v>
      </c>
      <c r="C299" s="440">
        <v>19.2</v>
      </c>
      <c r="D299" s="441">
        <f t="shared" si="53"/>
        <v>27.200000000000003</v>
      </c>
      <c r="E299" s="452">
        <v>16.8</v>
      </c>
      <c r="F299" s="453"/>
      <c r="G299" s="444">
        <v>80</v>
      </c>
      <c r="H299" s="445">
        <v>42</v>
      </c>
      <c r="I299" s="444">
        <v>78</v>
      </c>
      <c r="J299" s="450">
        <v>1.73</v>
      </c>
      <c r="K299" s="442">
        <v>2.2999999999999998</v>
      </c>
      <c r="L299" s="451">
        <v>2</v>
      </c>
      <c r="M299" s="451">
        <v>9.1999999999999993</v>
      </c>
    </row>
    <row r="300" spans="1:13" ht="18" customHeight="1" thickBot="1" x14ac:dyDescent="0.4">
      <c r="A300" s="298" t="s">
        <v>35</v>
      </c>
      <c r="B300" s="455">
        <f>SUM(B290:B299)</f>
        <v>322.60000000000002</v>
      </c>
      <c r="C300" s="455">
        <f>SUM(C290:C299)</f>
        <v>185.2</v>
      </c>
      <c r="D300" s="455">
        <f>SUM(D290:D299)</f>
        <v>253.90000000000003</v>
      </c>
      <c r="E300" s="457">
        <f>SUM(E290:E299)</f>
        <v>162.6</v>
      </c>
      <c r="F300" s="458"/>
      <c r="G300" s="455">
        <f t="shared" ref="G300:M300" si="54">SUM(G290:G299)</f>
        <v>869</v>
      </c>
      <c r="H300" s="455">
        <f t="shared" si="54"/>
        <v>567</v>
      </c>
      <c r="I300" s="457">
        <f t="shared" si="54"/>
        <v>816</v>
      </c>
      <c r="J300" s="459">
        <f t="shared" si="54"/>
        <v>18.240000000000002</v>
      </c>
      <c r="K300" s="460">
        <f t="shared" si="54"/>
        <v>15.599999999999998</v>
      </c>
      <c r="L300" s="457">
        <f t="shared" si="54"/>
        <v>24</v>
      </c>
      <c r="M300" s="457">
        <f t="shared" si="54"/>
        <v>88.500000000000014</v>
      </c>
    </row>
    <row r="301" spans="1:13" ht="18" customHeight="1" x14ac:dyDescent="0.35">
      <c r="A301" s="306">
        <v>21</v>
      </c>
      <c r="B301" s="439">
        <v>34.6</v>
      </c>
      <c r="C301" s="440">
        <v>18.600000000000001</v>
      </c>
      <c r="D301" s="441">
        <f t="shared" ref="D301:D311" si="55">(B301+C301)/2</f>
        <v>26.6</v>
      </c>
      <c r="E301" s="452">
        <v>15.6</v>
      </c>
      <c r="F301" s="447"/>
      <c r="G301" s="461">
        <v>86</v>
      </c>
      <c r="H301" s="462">
        <v>36</v>
      </c>
      <c r="I301" s="444">
        <v>86</v>
      </c>
      <c r="J301" s="450">
        <v>1.88</v>
      </c>
      <c r="K301" s="442">
        <v>1.4</v>
      </c>
      <c r="L301" s="451">
        <v>2</v>
      </c>
      <c r="M301" s="448">
        <v>11</v>
      </c>
    </row>
    <row r="302" spans="1:13" ht="18" customHeight="1" x14ac:dyDescent="0.35">
      <c r="A302" s="209">
        <v>22</v>
      </c>
      <c r="B302" s="439">
        <v>32</v>
      </c>
      <c r="C302" s="440">
        <v>17.2</v>
      </c>
      <c r="D302" s="441">
        <f t="shared" si="55"/>
        <v>24.6</v>
      </c>
      <c r="E302" s="449">
        <v>15.2</v>
      </c>
      <c r="F302" s="447"/>
      <c r="G302" s="444">
        <v>84</v>
      </c>
      <c r="H302" s="462">
        <v>36</v>
      </c>
      <c r="I302" s="444">
        <v>81</v>
      </c>
      <c r="J302" s="450">
        <v>2.16</v>
      </c>
      <c r="K302" s="442">
        <v>1.8</v>
      </c>
      <c r="L302" s="451">
        <v>3</v>
      </c>
      <c r="M302" s="448">
        <v>10.199999999999999</v>
      </c>
    </row>
    <row r="303" spans="1:13" ht="18" customHeight="1" x14ac:dyDescent="0.35">
      <c r="A303" s="209">
        <v>23</v>
      </c>
      <c r="B303" s="439">
        <v>34.4</v>
      </c>
      <c r="C303" s="440">
        <v>20</v>
      </c>
      <c r="D303" s="441">
        <f t="shared" si="55"/>
        <v>27.2</v>
      </c>
      <c r="E303" s="452">
        <v>18.2</v>
      </c>
      <c r="F303" s="447"/>
      <c r="G303" s="444">
        <v>80</v>
      </c>
      <c r="H303" s="445">
        <v>52</v>
      </c>
      <c r="I303" s="444">
        <v>78</v>
      </c>
      <c r="J303" s="450">
        <v>1.97</v>
      </c>
      <c r="K303" s="442">
        <v>1.6</v>
      </c>
      <c r="L303" s="451">
        <v>2.5</v>
      </c>
      <c r="M303" s="448">
        <v>10.199999999999999</v>
      </c>
    </row>
    <row r="304" spans="1:13" ht="18" customHeight="1" x14ac:dyDescent="0.35">
      <c r="A304" s="209">
        <v>24</v>
      </c>
      <c r="B304" s="439">
        <v>32.6</v>
      </c>
      <c r="C304" s="440">
        <v>18.2</v>
      </c>
      <c r="D304" s="441">
        <f t="shared" si="55"/>
        <v>25.4</v>
      </c>
      <c r="E304" s="452">
        <v>16.8</v>
      </c>
      <c r="F304" s="447"/>
      <c r="G304" s="444">
        <v>89</v>
      </c>
      <c r="H304" s="445">
        <v>56</v>
      </c>
      <c r="I304" s="444">
        <v>79</v>
      </c>
      <c r="J304" s="450">
        <v>1.73</v>
      </c>
      <c r="K304" s="442">
        <v>1.4</v>
      </c>
      <c r="L304" s="451">
        <v>2</v>
      </c>
      <c r="M304" s="448">
        <v>10.9</v>
      </c>
    </row>
    <row r="305" spans="1:13" ht="18" customHeight="1" x14ac:dyDescent="0.35">
      <c r="A305" s="209">
        <v>25</v>
      </c>
      <c r="B305" s="439">
        <v>33.6</v>
      </c>
      <c r="C305" s="440">
        <v>18</v>
      </c>
      <c r="D305" s="441">
        <f t="shared" si="55"/>
        <v>25.8</v>
      </c>
      <c r="E305" s="449">
        <v>15.6</v>
      </c>
      <c r="F305" s="447"/>
      <c r="G305" s="461">
        <v>87</v>
      </c>
      <c r="H305" s="462">
        <v>36</v>
      </c>
      <c r="I305" s="444">
        <v>84</v>
      </c>
      <c r="J305" s="450">
        <v>1.88</v>
      </c>
      <c r="K305" s="442">
        <v>1.5</v>
      </c>
      <c r="L305" s="451">
        <v>2.5</v>
      </c>
      <c r="M305" s="448">
        <v>10.6</v>
      </c>
    </row>
    <row r="306" spans="1:13" ht="18" customHeight="1" x14ac:dyDescent="0.35">
      <c r="A306" s="209">
        <v>26</v>
      </c>
      <c r="B306" s="439">
        <v>33</v>
      </c>
      <c r="C306" s="440">
        <v>18.600000000000001</v>
      </c>
      <c r="D306" s="441">
        <f t="shared" si="55"/>
        <v>25.8</v>
      </c>
      <c r="E306" s="449">
        <v>16</v>
      </c>
      <c r="F306" s="447"/>
      <c r="G306" s="461">
        <v>85</v>
      </c>
      <c r="H306" s="462">
        <v>36</v>
      </c>
      <c r="I306" s="444">
        <v>82</v>
      </c>
      <c r="J306" s="450">
        <v>1.7</v>
      </c>
      <c r="K306" s="442">
        <v>1.3</v>
      </c>
      <c r="L306" s="451">
        <v>2</v>
      </c>
      <c r="M306" s="448">
        <v>8.8000000000000007</v>
      </c>
    </row>
    <row r="307" spans="1:13" ht="18" customHeight="1" x14ac:dyDescent="0.35">
      <c r="A307" s="209">
        <v>27</v>
      </c>
      <c r="B307" s="463">
        <v>32.4</v>
      </c>
      <c r="C307" s="464">
        <v>18.8</v>
      </c>
      <c r="D307" s="441">
        <f t="shared" si="55"/>
        <v>25.6</v>
      </c>
      <c r="E307" s="449">
        <v>16.600000000000001</v>
      </c>
      <c r="F307" s="447">
        <v>7.7</v>
      </c>
      <c r="G307" s="444">
        <v>87</v>
      </c>
      <c r="H307" s="445">
        <v>50</v>
      </c>
      <c r="I307" s="444">
        <v>80</v>
      </c>
      <c r="J307" s="450">
        <v>2.13</v>
      </c>
      <c r="K307" s="442">
        <v>1.7</v>
      </c>
      <c r="L307" s="451">
        <v>3</v>
      </c>
      <c r="M307" s="448">
        <v>2.9</v>
      </c>
    </row>
    <row r="308" spans="1:13" ht="18" customHeight="1" x14ac:dyDescent="0.35">
      <c r="A308" s="209">
        <v>28</v>
      </c>
      <c r="B308" s="439">
        <v>31.4</v>
      </c>
      <c r="C308" s="440">
        <v>20.399999999999999</v>
      </c>
      <c r="D308" s="441">
        <f t="shared" si="55"/>
        <v>25.9</v>
      </c>
      <c r="E308" s="449">
        <v>18.399999999999999</v>
      </c>
      <c r="F308" s="447"/>
      <c r="G308" s="444">
        <v>84</v>
      </c>
      <c r="H308" s="445">
        <v>67</v>
      </c>
      <c r="I308" s="444">
        <v>80</v>
      </c>
      <c r="J308" s="450">
        <v>1.88</v>
      </c>
      <c r="K308" s="442">
        <v>1.6</v>
      </c>
      <c r="L308" s="451">
        <v>2.5</v>
      </c>
      <c r="M308" s="448">
        <v>9.1</v>
      </c>
    </row>
    <row r="309" spans="1:13" ht="18" customHeight="1" x14ac:dyDescent="0.35">
      <c r="A309" s="209">
        <v>29</v>
      </c>
      <c r="B309" s="439">
        <v>31.2</v>
      </c>
      <c r="C309" s="440">
        <v>17</v>
      </c>
      <c r="D309" s="441">
        <f t="shared" si="55"/>
        <v>24.1</v>
      </c>
      <c r="E309" s="449">
        <v>15.2</v>
      </c>
      <c r="F309" s="447"/>
      <c r="G309" s="444">
        <v>84</v>
      </c>
      <c r="H309" s="462">
        <v>37</v>
      </c>
      <c r="I309" s="444">
        <v>82</v>
      </c>
      <c r="J309" s="450">
        <v>2.04</v>
      </c>
      <c r="K309" s="442">
        <v>1.7</v>
      </c>
      <c r="L309" s="451">
        <v>3</v>
      </c>
      <c r="M309" s="448">
        <v>6.6</v>
      </c>
    </row>
    <row r="310" spans="1:13" ht="18" customHeight="1" x14ac:dyDescent="0.35">
      <c r="A310" s="209">
        <v>30</v>
      </c>
      <c r="B310" s="439">
        <v>37</v>
      </c>
      <c r="C310" s="440">
        <v>18</v>
      </c>
      <c r="D310" s="441">
        <f t="shared" si="55"/>
        <v>27.5</v>
      </c>
      <c r="E310" s="449">
        <v>15.8</v>
      </c>
      <c r="F310" s="447"/>
      <c r="G310" s="444">
        <v>83</v>
      </c>
      <c r="H310" s="445">
        <v>40</v>
      </c>
      <c r="I310" s="444">
        <v>80</v>
      </c>
      <c r="J310" s="450">
        <v>2.25</v>
      </c>
      <c r="K310" s="442">
        <v>1.6</v>
      </c>
      <c r="L310" s="451">
        <v>2.5</v>
      </c>
      <c r="M310" s="448">
        <v>9.3000000000000007</v>
      </c>
    </row>
    <row r="311" spans="1:13" ht="18" customHeight="1" thickBot="1" x14ac:dyDescent="0.4">
      <c r="A311" s="214">
        <v>31</v>
      </c>
      <c r="B311" s="463">
        <v>38.6</v>
      </c>
      <c r="C311" s="464">
        <v>22.4</v>
      </c>
      <c r="D311" s="441">
        <f t="shared" si="55"/>
        <v>30.5</v>
      </c>
      <c r="E311" s="465">
        <v>20.6</v>
      </c>
      <c r="F311" s="453"/>
      <c r="G311" s="466">
        <v>87</v>
      </c>
      <c r="H311" s="445">
        <v>44</v>
      </c>
      <c r="I311" s="466">
        <v>83</v>
      </c>
      <c r="J311" s="467">
        <v>1.91</v>
      </c>
      <c r="K311" s="468">
        <v>1.3</v>
      </c>
      <c r="L311" s="469">
        <v>2</v>
      </c>
      <c r="M311" s="454">
        <v>20.100000000000001</v>
      </c>
    </row>
    <row r="312" spans="1:13" ht="18" customHeight="1" thickBot="1" x14ac:dyDescent="0.4">
      <c r="A312" s="329" t="s">
        <v>35</v>
      </c>
      <c r="B312" s="455">
        <f>SUM(B301:B311)</f>
        <v>370.8</v>
      </c>
      <c r="C312" s="455">
        <f>SUM(C301:C311)</f>
        <v>207.20000000000002</v>
      </c>
      <c r="D312" s="455">
        <f>SUM(D301:D311)</f>
        <v>289</v>
      </c>
      <c r="E312" s="457">
        <f>SUM(E301:E311)</f>
        <v>184</v>
      </c>
      <c r="F312" s="458">
        <f>SUM(F301:F311)</f>
        <v>7.7</v>
      </c>
      <c r="G312" s="455">
        <f t="shared" ref="G312:M312" si="56">SUM(G301:G311)</f>
        <v>936</v>
      </c>
      <c r="H312" s="455">
        <f t="shared" si="56"/>
        <v>490</v>
      </c>
      <c r="I312" s="457">
        <f t="shared" si="56"/>
        <v>895</v>
      </c>
      <c r="J312" s="470">
        <f t="shared" si="56"/>
        <v>21.529999999999998</v>
      </c>
      <c r="K312" s="460">
        <f t="shared" si="56"/>
        <v>16.899999999999999</v>
      </c>
      <c r="L312" s="457">
        <f t="shared" si="56"/>
        <v>27</v>
      </c>
      <c r="M312" s="457">
        <f t="shared" si="56"/>
        <v>109.69999999999999</v>
      </c>
    </row>
    <row r="313" spans="1:13" ht="18" customHeight="1" thickBot="1" x14ac:dyDescent="0.4">
      <c r="A313" s="471" t="s">
        <v>36</v>
      </c>
      <c r="B313" s="472">
        <f>B312+B300+B289</f>
        <v>986.80000000000018</v>
      </c>
      <c r="C313" s="472">
        <f t="shared" ref="C313:M313" si="57">C312+C300+C289</f>
        <v>590.59999999999991</v>
      </c>
      <c r="D313" s="472">
        <f t="shared" si="57"/>
        <v>788.7</v>
      </c>
      <c r="E313" s="473">
        <f t="shared" si="57"/>
        <v>521</v>
      </c>
      <c r="F313" s="472">
        <f t="shared" si="57"/>
        <v>7.7</v>
      </c>
      <c r="G313" s="472">
        <f t="shared" si="57"/>
        <v>2670</v>
      </c>
      <c r="H313" s="472">
        <f t="shared" si="57"/>
        <v>1681</v>
      </c>
      <c r="I313" s="472">
        <f t="shared" si="57"/>
        <v>2530</v>
      </c>
      <c r="J313" s="474">
        <f t="shared" si="57"/>
        <v>58.849999999999994</v>
      </c>
      <c r="K313" s="475">
        <f t="shared" si="57"/>
        <v>50</v>
      </c>
      <c r="L313" s="476">
        <f t="shared" si="57"/>
        <v>79.5</v>
      </c>
      <c r="M313" s="472">
        <f t="shared" si="57"/>
        <v>289.39999999999998</v>
      </c>
    </row>
    <row r="314" spans="1:13" ht="18" customHeight="1" thickBot="1" x14ac:dyDescent="0.4">
      <c r="A314" s="477" t="s">
        <v>19</v>
      </c>
      <c r="B314" s="475">
        <f>B313/31</f>
        <v>31.832258064516136</v>
      </c>
      <c r="C314" s="475">
        <f t="shared" ref="C314:J314" si="58">C313/31</f>
        <v>19.051612903225802</v>
      </c>
      <c r="D314" s="475">
        <f t="shared" si="58"/>
        <v>25.441935483870971</v>
      </c>
      <c r="E314" s="476">
        <f t="shared" si="58"/>
        <v>16.806451612903224</v>
      </c>
      <c r="F314" s="478" t="s">
        <v>50</v>
      </c>
      <c r="G314" s="479">
        <f t="shared" si="58"/>
        <v>86.129032258064512</v>
      </c>
      <c r="H314" s="480">
        <f t="shared" si="58"/>
        <v>54.225806451612904</v>
      </c>
      <c r="I314" s="480">
        <f t="shared" si="58"/>
        <v>81.612903225806448</v>
      </c>
      <c r="J314" s="481">
        <f t="shared" si="58"/>
        <v>1.8983870967741934</v>
      </c>
      <c r="K314" s="482"/>
      <c r="L314" s="483"/>
      <c r="M314" s="482"/>
    </row>
    <row r="315" spans="1:13" ht="15" thickBot="1" x14ac:dyDescent="0.4">
      <c r="F315" s="4"/>
      <c r="G315" s="4"/>
      <c r="H315" s="4"/>
      <c r="I315" s="4"/>
      <c r="J315" s="4"/>
      <c r="K315" s="4"/>
      <c r="L315" s="4"/>
      <c r="M315" s="4"/>
    </row>
    <row r="316" spans="1:13" ht="16" thickBot="1" x14ac:dyDescent="0.4">
      <c r="A316" s="1" t="s">
        <v>0</v>
      </c>
      <c r="B316" s="2"/>
      <c r="C316" s="2"/>
      <c r="D316" s="2"/>
      <c r="E316" s="2"/>
      <c r="F316" s="3"/>
      <c r="G316" s="4"/>
      <c r="H316" s="4"/>
      <c r="I316" s="4"/>
      <c r="J316" s="4"/>
      <c r="K316" s="4"/>
      <c r="L316" s="4"/>
      <c r="M316" s="4"/>
    </row>
    <row r="317" spans="1:13" ht="15.5" x14ac:dyDescent="0.35">
      <c r="A317" s="5" t="s">
        <v>2</v>
      </c>
      <c r="B317" s="6"/>
      <c r="C317" s="6"/>
      <c r="D317" s="6"/>
      <c r="E317" s="6"/>
      <c r="F317" s="7"/>
      <c r="G317" s="4"/>
      <c r="H317" s="4"/>
      <c r="I317" s="933" t="s">
        <v>3</v>
      </c>
      <c r="J317" s="934"/>
      <c r="K317" s="934"/>
      <c r="L317" s="934"/>
      <c r="M317" s="935"/>
    </row>
    <row r="318" spans="1:13" ht="15.5" x14ac:dyDescent="0.35">
      <c r="A318" s="5" t="s">
        <v>4</v>
      </c>
      <c r="B318" s="6"/>
      <c r="C318" s="6"/>
      <c r="D318" s="6"/>
      <c r="E318" s="6"/>
      <c r="F318" s="7"/>
      <c r="G318" s="4"/>
      <c r="H318" s="4"/>
      <c r="I318" s="936" t="s">
        <v>5</v>
      </c>
      <c r="J318" s="937"/>
      <c r="K318" s="937"/>
      <c r="L318" s="937"/>
      <c r="M318" s="938"/>
    </row>
    <row r="319" spans="1:13" ht="21.5" thickBot="1" x14ac:dyDescent="0.55000000000000004">
      <c r="A319" s="11" t="s">
        <v>6</v>
      </c>
      <c r="B319" s="12"/>
      <c r="C319" s="12"/>
      <c r="D319" s="12"/>
      <c r="E319" s="12"/>
      <c r="F319" s="13"/>
      <c r="G319" s="4"/>
      <c r="H319" s="4"/>
      <c r="I319" s="921" t="s">
        <v>51</v>
      </c>
      <c r="J319" s="922"/>
      <c r="K319" s="922"/>
      <c r="L319" s="922"/>
      <c r="M319" s="923"/>
    </row>
    <row r="320" spans="1:13" ht="26" thickBot="1" x14ac:dyDescent="0.65">
      <c r="A320" s="17" t="s">
        <v>39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8" customHeight="1" thickBot="1" x14ac:dyDescent="0.4">
      <c r="A321" s="915" t="s">
        <v>10</v>
      </c>
      <c r="B321" s="918" t="s">
        <v>11</v>
      </c>
      <c r="C321" s="919"/>
      <c r="D321" s="928"/>
      <c r="E321" s="920"/>
      <c r="F321" s="130" t="s">
        <v>12</v>
      </c>
      <c r="G321" s="930" t="s">
        <v>13</v>
      </c>
      <c r="H321" s="931"/>
      <c r="I321" s="932"/>
      <c r="J321" s="129" t="s">
        <v>14</v>
      </c>
      <c r="K321" s="918" t="s">
        <v>15</v>
      </c>
      <c r="L321" s="920"/>
      <c r="M321" s="131" t="s">
        <v>16</v>
      </c>
    </row>
    <row r="322" spans="1:13" ht="18" customHeight="1" thickBot="1" x14ac:dyDescent="0.4">
      <c r="A322" s="916"/>
      <c r="B322" s="134" t="s">
        <v>17</v>
      </c>
      <c r="C322" s="200" t="s">
        <v>18</v>
      </c>
      <c r="D322" s="484" t="s">
        <v>19</v>
      </c>
      <c r="E322" s="139" t="s">
        <v>18</v>
      </c>
      <c r="F322" s="137" t="s">
        <v>20</v>
      </c>
      <c r="G322" s="930" t="s">
        <v>21</v>
      </c>
      <c r="H322" s="931"/>
      <c r="I322" s="932"/>
      <c r="J322" s="137" t="s">
        <v>22</v>
      </c>
      <c r="K322" s="924" t="s">
        <v>23</v>
      </c>
      <c r="L322" s="926"/>
      <c r="M322" s="139" t="s">
        <v>24</v>
      </c>
    </row>
    <row r="323" spans="1:13" ht="18" customHeight="1" thickBot="1" x14ac:dyDescent="0.4">
      <c r="A323" s="917"/>
      <c r="B323" s="485" t="s">
        <v>25</v>
      </c>
      <c r="C323" s="272" t="s">
        <v>25</v>
      </c>
      <c r="D323" s="272"/>
      <c r="E323" s="273" t="s">
        <v>26</v>
      </c>
      <c r="F323" s="17" t="s">
        <v>27</v>
      </c>
      <c r="G323" s="357" t="s">
        <v>28</v>
      </c>
      <c r="H323" s="354" t="s">
        <v>29</v>
      </c>
      <c r="I323" s="355" t="s">
        <v>30</v>
      </c>
      <c r="J323" s="17" t="s">
        <v>31</v>
      </c>
      <c r="K323" s="271" t="s">
        <v>32</v>
      </c>
      <c r="L323" s="273" t="s">
        <v>33</v>
      </c>
      <c r="M323" s="486" t="s">
        <v>34</v>
      </c>
    </row>
    <row r="324" spans="1:13" ht="18" customHeight="1" x14ac:dyDescent="0.35">
      <c r="A324" s="221">
        <v>1</v>
      </c>
      <c r="B324" s="487">
        <v>31</v>
      </c>
      <c r="C324" s="488">
        <v>23</v>
      </c>
      <c r="D324" s="489">
        <f>(B324+C324)/2</f>
        <v>27</v>
      </c>
      <c r="E324" s="490">
        <v>21.2</v>
      </c>
      <c r="F324" s="491"/>
      <c r="G324" s="492">
        <v>87</v>
      </c>
      <c r="H324" s="493">
        <v>74</v>
      </c>
      <c r="I324" s="494">
        <v>82</v>
      </c>
      <c r="J324" s="446">
        <v>1.84</v>
      </c>
      <c r="K324" s="490">
        <v>1.5</v>
      </c>
      <c r="L324" s="443">
        <v>2.5</v>
      </c>
      <c r="M324" s="399">
        <v>9.1999999999999993</v>
      </c>
    </row>
    <row r="325" spans="1:13" ht="18" customHeight="1" x14ac:dyDescent="0.35">
      <c r="A325" s="223">
        <v>2</v>
      </c>
      <c r="B325" s="495">
        <v>35.200000000000003</v>
      </c>
      <c r="C325" s="496">
        <v>20.6</v>
      </c>
      <c r="D325" s="441">
        <f t="shared" ref="D325:D333" si="59">(B325+C325)/2</f>
        <v>27.900000000000002</v>
      </c>
      <c r="E325" s="449">
        <v>18.8</v>
      </c>
      <c r="F325" s="497"/>
      <c r="G325" s="445">
        <v>84</v>
      </c>
      <c r="H325" s="498">
        <v>52</v>
      </c>
      <c r="I325" s="462">
        <v>82</v>
      </c>
      <c r="J325" s="450">
        <v>1.77</v>
      </c>
      <c r="K325" s="449">
        <v>2.8</v>
      </c>
      <c r="L325" s="451">
        <v>4.5</v>
      </c>
      <c r="M325" s="448">
        <v>11.8</v>
      </c>
    </row>
    <row r="326" spans="1:13" ht="18" customHeight="1" x14ac:dyDescent="0.35">
      <c r="A326" s="223">
        <v>3</v>
      </c>
      <c r="B326" s="495">
        <v>32.799999999999997</v>
      </c>
      <c r="C326" s="440">
        <v>19</v>
      </c>
      <c r="D326" s="441">
        <f t="shared" si="59"/>
        <v>25.9</v>
      </c>
      <c r="E326" s="449">
        <v>17.2</v>
      </c>
      <c r="F326" s="497"/>
      <c r="G326" s="445">
        <v>84</v>
      </c>
      <c r="H326" s="498">
        <v>60</v>
      </c>
      <c r="I326" s="462">
        <v>83</v>
      </c>
      <c r="J326" s="450">
        <v>1.98</v>
      </c>
      <c r="K326" s="449">
        <v>1.6</v>
      </c>
      <c r="L326" s="451">
        <v>2.5</v>
      </c>
      <c r="M326" s="448">
        <v>11.7</v>
      </c>
    </row>
    <row r="327" spans="1:13" ht="18" customHeight="1" x14ac:dyDescent="0.35">
      <c r="A327" s="223">
        <v>4</v>
      </c>
      <c r="B327" s="495">
        <v>33</v>
      </c>
      <c r="C327" s="440">
        <v>18.600000000000001</v>
      </c>
      <c r="D327" s="441">
        <f t="shared" si="59"/>
        <v>25.8</v>
      </c>
      <c r="E327" s="452">
        <v>16</v>
      </c>
      <c r="F327" s="497"/>
      <c r="G327" s="445">
        <v>90</v>
      </c>
      <c r="H327" s="498">
        <v>70</v>
      </c>
      <c r="I327" s="462">
        <v>87</v>
      </c>
      <c r="J327" s="450">
        <v>1.62</v>
      </c>
      <c r="K327" s="449">
        <v>2.5</v>
      </c>
      <c r="L327" s="451">
        <v>4</v>
      </c>
      <c r="M327" s="448">
        <v>10.8</v>
      </c>
    </row>
    <row r="328" spans="1:13" ht="18" customHeight="1" x14ac:dyDescent="0.35">
      <c r="A328" s="223">
        <v>5</v>
      </c>
      <c r="B328" s="495">
        <v>32.4</v>
      </c>
      <c r="C328" s="496">
        <v>20.2</v>
      </c>
      <c r="D328" s="441">
        <f t="shared" si="59"/>
        <v>26.299999999999997</v>
      </c>
      <c r="E328" s="452">
        <v>17.8</v>
      </c>
      <c r="F328" s="497"/>
      <c r="G328" s="445">
        <v>86</v>
      </c>
      <c r="H328" s="498">
        <v>65</v>
      </c>
      <c r="I328" s="499">
        <v>84</v>
      </c>
      <c r="J328" s="450">
        <v>1.8</v>
      </c>
      <c r="K328" s="449">
        <v>1.4</v>
      </c>
      <c r="L328" s="451">
        <v>2.5</v>
      </c>
      <c r="M328" s="448">
        <v>9.6</v>
      </c>
    </row>
    <row r="329" spans="1:13" ht="18" customHeight="1" x14ac:dyDescent="0.35">
      <c r="A329" s="223">
        <v>6</v>
      </c>
      <c r="B329" s="495">
        <v>33</v>
      </c>
      <c r="C329" s="496">
        <v>19.8</v>
      </c>
      <c r="D329" s="441">
        <f t="shared" si="59"/>
        <v>26.4</v>
      </c>
      <c r="E329" s="452">
        <v>16.600000000000001</v>
      </c>
      <c r="F329" s="497"/>
      <c r="G329" s="445">
        <v>86</v>
      </c>
      <c r="H329" s="498">
        <v>70</v>
      </c>
      <c r="I329" s="445">
        <v>83</v>
      </c>
      <c r="J329" s="450">
        <v>1.6</v>
      </c>
      <c r="K329" s="449">
        <v>2.2000000000000002</v>
      </c>
      <c r="L329" s="451">
        <v>3.5</v>
      </c>
      <c r="M329" s="448">
        <v>9</v>
      </c>
    </row>
    <row r="330" spans="1:13" ht="18" customHeight="1" x14ac:dyDescent="0.35">
      <c r="A330" s="223">
        <v>7</v>
      </c>
      <c r="B330" s="495">
        <v>32.4</v>
      </c>
      <c r="C330" s="496">
        <v>21</v>
      </c>
      <c r="D330" s="441">
        <f t="shared" si="59"/>
        <v>26.7</v>
      </c>
      <c r="E330" s="452">
        <v>18.2</v>
      </c>
      <c r="F330" s="497"/>
      <c r="G330" s="445">
        <v>90</v>
      </c>
      <c r="H330" s="498">
        <v>68</v>
      </c>
      <c r="I330" s="445">
        <v>87</v>
      </c>
      <c r="J330" s="450">
        <v>1.81</v>
      </c>
      <c r="K330" s="449">
        <v>1.5</v>
      </c>
      <c r="L330" s="451">
        <v>2.5</v>
      </c>
      <c r="M330" s="448">
        <v>11.2</v>
      </c>
    </row>
    <row r="331" spans="1:13" ht="18" customHeight="1" x14ac:dyDescent="0.35">
      <c r="A331" s="223">
        <v>8</v>
      </c>
      <c r="B331" s="495">
        <v>33.6</v>
      </c>
      <c r="C331" s="496">
        <v>23</v>
      </c>
      <c r="D331" s="441">
        <f t="shared" si="59"/>
        <v>28.3</v>
      </c>
      <c r="E331" s="452">
        <v>21.2</v>
      </c>
      <c r="F331" s="497"/>
      <c r="G331" s="445">
        <v>85</v>
      </c>
      <c r="H331" s="498">
        <v>60</v>
      </c>
      <c r="I331" s="445">
        <v>83</v>
      </c>
      <c r="J331" s="450">
        <v>1.86</v>
      </c>
      <c r="K331" s="449">
        <v>1.4</v>
      </c>
      <c r="L331" s="451">
        <v>2.5</v>
      </c>
      <c r="M331" s="448">
        <v>9.9</v>
      </c>
    </row>
    <row r="332" spans="1:13" ht="18" customHeight="1" x14ac:dyDescent="0.35">
      <c r="A332" s="223">
        <v>9</v>
      </c>
      <c r="B332" s="495">
        <v>30.8</v>
      </c>
      <c r="C332" s="496">
        <v>22.6</v>
      </c>
      <c r="D332" s="441">
        <f t="shared" si="59"/>
        <v>26.700000000000003</v>
      </c>
      <c r="E332" s="452">
        <v>18.399999999999999</v>
      </c>
      <c r="F332" s="497"/>
      <c r="G332" s="445">
        <v>88</v>
      </c>
      <c r="H332" s="498">
        <v>74</v>
      </c>
      <c r="I332" s="445">
        <v>84</v>
      </c>
      <c r="J332" s="450">
        <v>1.89</v>
      </c>
      <c r="K332" s="449">
        <v>1.6</v>
      </c>
      <c r="L332" s="451">
        <v>2.5</v>
      </c>
      <c r="M332" s="448">
        <v>10.3</v>
      </c>
    </row>
    <row r="333" spans="1:13" ht="18" customHeight="1" thickBot="1" x14ac:dyDescent="0.4">
      <c r="A333" s="311">
        <v>10</v>
      </c>
      <c r="B333" s="495">
        <v>30.6</v>
      </c>
      <c r="C333" s="440">
        <v>22</v>
      </c>
      <c r="D333" s="441">
        <f t="shared" si="59"/>
        <v>26.3</v>
      </c>
      <c r="E333" s="449">
        <v>18</v>
      </c>
      <c r="F333" s="500"/>
      <c r="G333" s="445">
        <v>86</v>
      </c>
      <c r="H333" s="498">
        <v>74</v>
      </c>
      <c r="I333" s="499">
        <v>84</v>
      </c>
      <c r="J333" s="450">
        <v>1.83</v>
      </c>
      <c r="K333" s="449">
        <v>1.2</v>
      </c>
      <c r="L333" s="451">
        <v>2</v>
      </c>
      <c r="M333" s="454">
        <v>7.8</v>
      </c>
    </row>
    <row r="334" spans="1:13" ht="18" customHeight="1" thickBot="1" x14ac:dyDescent="0.4">
      <c r="A334" s="501" t="s">
        <v>35</v>
      </c>
      <c r="B334" s="502">
        <f>SUM(B324:B333)</f>
        <v>324.80000000000007</v>
      </c>
      <c r="C334" s="459">
        <f>SUM(C324:C333)</f>
        <v>209.79999999999998</v>
      </c>
      <c r="D334" s="459">
        <f>SUM(D324:D333)</f>
        <v>267.3</v>
      </c>
      <c r="E334" s="457">
        <f>SUM(E324:E333)</f>
        <v>183.4</v>
      </c>
      <c r="F334" s="459"/>
      <c r="G334" s="503">
        <f>SUM(G324:G333)</f>
        <v>866</v>
      </c>
      <c r="H334" s="504">
        <f t="shared" ref="H334:M334" si="60">SUM(H324:H333)</f>
        <v>667</v>
      </c>
      <c r="I334" s="505">
        <f t="shared" si="60"/>
        <v>839</v>
      </c>
      <c r="J334" s="459">
        <f t="shared" si="60"/>
        <v>18</v>
      </c>
      <c r="K334" s="502">
        <f>SUM(K324:K333)</f>
        <v>17.7</v>
      </c>
      <c r="L334" s="457">
        <f>SUM(L324:L333)</f>
        <v>29</v>
      </c>
      <c r="M334" s="457">
        <f t="shared" si="60"/>
        <v>101.3</v>
      </c>
    </row>
    <row r="335" spans="1:13" ht="18" customHeight="1" x14ac:dyDescent="0.35">
      <c r="A335" s="316">
        <v>11</v>
      </c>
      <c r="B335" s="495">
        <v>39.799999999999997</v>
      </c>
      <c r="C335" s="440">
        <v>22.8</v>
      </c>
      <c r="D335" s="441">
        <f t="shared" ref="D335:D344" si="61">(B335+C335)/2</f>
        <v>31.299999999999997</v>
      </c>
      <c r="E335" s="449">
        <v>18.600000000000001</v>
      </c>
      <c r="F335" s="497"/>
      <c r="G335" s="445">
        <v>87</v>
      </c>
      <c r="H335" s="498">
        <v>38</v>
      </c>
      <c r="I335" s="498">
        <v>85</v>
      </c>
      <c r="J335" s="450">
        <v>1.6</v>
      </c>
      <c r="K335" s="449">
        <v>3.2</v>
      </c>
      <c r="L335" s="451">
        <v>5.5</v>
      </c>
      <c r="M335" s="448">
        <v>9.5</v>
      </c>
    </row>
    <row r="336" spans="1:13" ht="18" customHeight="1" x14ac:dyDescent="0.35">
      <c r="A336" s="223">
        <v>12</v>
      </c>
      <c r="B336" s="495">
        <v>32.6</v>
      </c>
      <c r="C336" s="496">
        <v>22</v>
      </c>
      <c r="D336" s="441">
        <f t="shared" si="61"/>
        <v>27.3</v>
      </c>
      <c r="E336" s="452">
        <v>18.2</v>
      </c>
      <c r="F336" s="497"/>
      <c r="G336" s="445">
        <v>88</v>
      </c>
      <c r="H336" s="498">
        <v>62</v>
      </c>
      <c r="I336" s="498">
        <v>85</v>
      </c>
      <c r="J336" s="450">
        <v>1.79</v>
      </c>
      <c r="K336" s="442">
        <v>1.4</v>
      </c>
      <c r="L336" s="451">
        <v>2.5</v>
      </c>
      <c r="M336" s="448">
        <v>12.5</v>
      </c>
    </row>
    <row r="337" spans="1:13" ht="18" customHeight="1" x14ac:dyDescent="0.35">
      <c r="A337" s="223">
        <v>13</v>
      </c>
      <c r="B337" s="495">
        <v>33.4</v>
      </c>
      <c r="C337" s="496">
        <v>20.8</v>
      </c>
      <c r="D337" s="441">
        <f t="shared" si="61"/>
        <v>27.1</v>
      </c>
      <c r="E337" s="452">
        <v>17.600000000000001</v>
      </c>
      <c r="F337" s="497"/>
      <c r="G337" s="445">
        <v>89</v>
      </c>
      <c r="H337" s="498">
        <v>60</v>
      </c>
      <c r="I337" s="498">
        <v>87</v>
      </c>
      <c r="J337" s="450">
        <v>2.2400000000000002</v>
      </c>
      <c r="K337" s="442">
        <v>1.7</v>
      </c>
      <c r="L337" s="451">
        <v>3</v>
      </c>
      <c r="M337" s="448">
        <v>12.8</v>
      </c>
    </row>
    <row r="338" spans="1:13" ht="18" customHeight="1" x14ac:dyDescent="0.35">
      <c r="A338" s="223">
        <v>14</v>
      </c>
      <c r="B338" s="495">
        <v>32.6</v>
      </c>
      <c r="C338" s="496">
        <v>19.2</v>
      </c>
      <c r="D338" s="441">
        <f t="shared" si="61"/>
        <v>25.9</v>
      </c>
      <c r="E338" s="452">
        <v>16.399999999999999</v>
      </c>
      <c r="F338" s="497"/>
      <c r="G338" s="445">
        <v>87</v>
      </c>
      <c r="H338" s="498">
        <v>62</v>
      </c>
      <c r="I338" s="498">
        <v>84</v>
      </c>
      <c r="J338" s="450">
        <v>1.82</v>
      </c>
      <c r="K338" s="442">
        <v>1.5</v>
      </c>
      <c r="L338" s="451">
        <v>2.5</v>
      </c>
      <c r="M338" s="448">
        <v>12.6</v>
      </c>
    </row>
    <row r="339" spans="1:13" ht="18" customHeight="1" x14ac:dyDescent="0.35">
      <c r="A339" s="223">
        <v>15</v>
      </c>
      <c r="B339" s="495">
        <v>30.4</v>
      </c>
      <c r="C339" s="496">
        <v>17</v>
      </c>
      <c r="D339" s="441">
        <f t="shared" si="61"/>
        <v>23.7</v>
      </c>
      <c r="E339" s="452">
        <v>15.8</v>
      </c>
      <c r="F339" s="497"/>
      <c r="G339" s="445">
        <v>91</v>
      </c>
      <c r="H339" s="498">
        <v>64</v>
      </c>
      <c r="I339" s="498">
        <v>88</v>
      </c>
      <c r="J339" s="450">
        <v>2.25</v>
      </c>
      <c r="K339" s="442">
        <v>1.9</v>
      </c>
      <c r="L339" s="451">
        <v>3</v>
      </c>
      <c r="M339" s="448">
        <v>12.4</v>
      </c>
    </row>
    <row r="340" spans="1:13" ht="18" customHeight="1" x14ac:dyDescent="0.35">
      <c r="A340" s="223">
        <v>16</v>
      </c>
      <c r="B340" s="495">
        <v>29</v>
      </c>
      <c r="C340" s="496">
        <v>17.600000000000001</v>
      </c>
      <c r="D340" s="441">
        <f t="shared" si="61"/>
        <v>23.3</v>
      </c>
      <c r="E340" s="452">
        <v>15.6</v>
      </c>
      <c r="F340" s="497"/>
      <c r="G340" s="445">
        <v>87</v>
      </c>
      <c r="H340" s="498">
        <v>60</v>
      </c>
      <c r="I340" s="498">
        <v>84</v>
      </c>
      <c r="J340" s="450">
        <v>2.2000000000000002</v>
      </c>
      <c r="K340" s="442">
        <v>2</v>
      </c>
      <c r="L340" s="451">
        <v>3.5</v>
      </c>
      <c r="M340" s="448">
        <v>12</v>
      </c>
    </row>
    <row r="341" spans="1:13" ht="18" customHeight="1" x14ac:dyDescent="0.35">
      <c r="A341" s="223">
        <v>17</v>
      </c>
      <c r="B341" s="495">
        <v>30.6</v>
      </c>
      <c r="C341" s="440">
        <v>18</v>
      </c>
      <c r="D341" s="441">
        <f t="shared" si="61"/>
        <v>24.3</v>
      </c>
      <c r="E341" s="452">
        <v>15</v>
      </c>
      <c r="F341" s="497"/>
      <c r="G341" s="445">
        <v>92</v>
      </c>
      <c r="H341" s="498">
        <v>68</v>
      </c>
      <c r="I341" s="498">
        <v>88</v>
      </c>
      <c r="J341" s="450">
        <v>1.51</v>
      </c>
      <c r="K341" s="442">
        <v>1.2</v>
      </c>
      <c r="L341" s="451">
        <v>2</v>
      </c>
      <c r="M341" s="448">
        <v>12.4</v>
      </c>
    </row>
    <row r="342" spans="1:13" ht="18" customHeight="1" x14ac:dyDescent="0.35">
      <c r="A342" s="223">
        <v>18</v>
      </c>
      <c r="B342" s="495">
        <v>32</v>
      </c>
      <c r="C342" s="440">
        <v>17.8</v>
      </c>
      <c r="D342" s="441">
        <f t="shared" si="61"/>
        <v>24.9</v>
      </c>
      <c r="E342" s="449">
        <v>15</v>
      </c>
      <c r="F342" s="497"/>
      <c r="G342" s="445">
        <v>91</v>
      </c>
      <c r="H342" s="498">
        <v>77</v>
      </c>
      <c r="I342" s="498">
        <v>87</v>
      </c>
      <c r="J342" s="450">
        <v>1.64</v>
      </c>
      <c r="K342" s="442">
        <v>1.3</v>
      </c>
      <c r="L342" s="451">
        <v>2</v>
      </c>
      <c r="M342" s="448">
        <v>10.6</v>
      </c>
    </row>
    <row r="343" spans="1:13" ht="18" customHeight="1" x14ac:dyDescent="0.35">
      <c r="A343" s="223">
        <v>19</v>
      </c>
      <c r="B343" s="495">
        <v>32.4</v>
      </c>
      <c r="C343" s="440">
        <v>17</v>
      </c>
      <c r="D343" s="441">
        <f t="shared" si="61"/>
        <v>24.7</v>
      </c>
      <c r="E343" s="452">
        <v>14.2</v>
      </c>
      <c r="F343" s="497"/>
      <c r="G343" s="445">
        <v>88</v>
      </c>
      <c r="H343" s="498">
        <v>62</v>
      </c>
      <c r="I343" s="498">
        <v>84</v>
      </c>
      <c r="J343" s="450">
        <v>0.84</v>
      </c>
      <c r="K343" s="442">
        <v>1.8</v>
      </c>
      <c r="L343" s="451">
        <v>3</v>
      </c>
      <c r="M343" s="448">
        <v>5.2</v>
      </c>
    </row>
    <row r="344" spans="1:13" ht="18" customHeight="1" thickBot="1" x14ac:dyDescent="0.4">
      <c r="A344" s="311">
        <v>20</v>
      </c>
      <c r="B344" s="495">
        <v>35</v>
      </c>
      <c r="C344" s="440">
        <v>15.2</v>
      </c>
      <c r="D344" s="441">
        <f t="shared" si="61"/>
        <v>25.1</v>
      </c>
      <c r="E344" s="452">
        <v>13.8</v>
      </c>
      <c r="F344" s="500"/>
      <c r="G344" s="506">
        <v>87</v>
      </c>
      <c r="H344" s="507">
        <v>53</v>
      </c>
      <c r="I344" s="507">
        <v>85</v>
      </c>
      <c r="J344" s="450">
        <v>1.24</v>
      </c>
      <c r="K344" s="442">
        <v>2.1</v>
      </c>
      <c r="L344" s="451">
        <v>3.5</v>
      </c>
      <c r="M344" s="454">
        <v>7.8</v>
      </c>
    </row>
    <row r="345" spans="1:13" ht="18" customHeight="1" thickBot="1" x14ac:dyDescent="0.4">
      <c r="A345" s="501" t="s">
        <v>35</v>
      </c>
      <c r="B345" s="460">
        <f>SUM(B335:B344)</f>
        <v>327.79999999999995</v>
      </c>
      <c r="C345" s="508">
        <f>SUM(C335:C344)</f>
        <v>187.4</v>
      </c>
      <c r="D345" s="508">
        <f>SUM(D335:D344)</f>
        <v>257.60000000000002</v>
      </c>
      <c r="E345" s="509">
        <f>SUM(E335:E344)</f>
        <v>160.19999999999999</v>
      </c>
      <c r="F345" s="459"/>
      <c r="G345" s="510">
        <f t="shared" ref="G345:M345" si="62">SUM(G335:G344)</f>
        <v>887</v>
      </c>
      <c r="H345" s="511">
        <f t="shared" si="62"/>
        <v>606</v>
      </c>
      <c r="I345" s="505">
        <f t="shared" si="62"/>
        <v>857</v>
      </c>
      <c r="J345" s="455">
        <f t="shared" si="62"/>
        <v>17.130000000000003</v>
      </c>
      <c r="K345" s="512">
        <f t="shared" si="62"/>
        <v>18.100000000000001</v>
      </c>
      <c r="L345" s="512">
        <f>SUM(L335:L344)</f>
        <v>30.5</v>
      </c>
      <c r="M345" s="509">
        <f t="shared" si="62"/>
        <v>107.8</v>
      </c>
    </row>
    <row r="346" spans="1:13" ht="18" customHeight="1" x14ac:dyDescent="0.35">
      <c r="A346" s="316">
        <v>21</v>
      </c>
      <c r="B346" s="495">
        <v>33.6</v>
      </c>
      <c r="C346" s="440">
        <v>21</v>
      </c>
      <c r="D346" s="441">
        <f t="shared" ref="D346:D355" si="63">(B346+C346)/2</f>
        <v>27.3</v>
      </c>
      <c r="E346" s="452">
        <v>17.8</v>
      </c>
      <c r="F346" s="497"/>
      <c r="G346" s="513">
        <v>89</v>
      </c>
      <c r="H346" s="514">
        <v>50</v>
      </c>
      <c r="I346" s="514">
        <v>85</v>
      </c>
      <c r="J346" s="450">
        <v>1.31</v>
      </c>
      <c r="K346" s="442">
        <v>1.6</v>
      </c>
      <c r="L346" s="451">
        <v>2.5</v>
      </c>
      <c r="M346" s="448">
        <v>0.1</v>
      </c>
    </row>
    <row r="347" spans="1:13" ht="18" customHeight="1" x14ac:dyDescent="0.35">
      <c r="A347" s="223">
        <v>22</v>
      </c>
      <c r="B347" s="495">
        <v>30.6</v>
      </c>
      <c r="C347" s="440">
        <v>20.8</v>
      </c>
      <c r="D347" s="441">
        <f t="shared" si="63"/>
        <v>25.700000000000003</v>
      </c>
      <c r="E347" s="449">
        <v>17.399999999999999</v>
      </c>
      <c r="F347" s="497"/>
      <c r="G347" s="513">
        <v>91</v>
      </c>
      <c r="H347" s="498">
        <v>75</v>
      </c>
      <c r="I347" s="445">
        <v>87</v>
      </c>
      <c r="J347" s="450">
        <v>2.69</v>
      </c>
      <c r="K347" s="442">
        <v>2.2999999999999998</v>
      </c>
      <c r="L347" s="451">
        <v>4</v>
      </c>
      <c r="M347" s="448">
        <v>11.4</v>
      </c>
    </row>
    <row r="348" spans="1:13" ht="18" customHeight="1" x14ac:dyDescent="0.35">
      <c r="A348" s="223">
        <v>23</v>
      </c>
      <c r="B348" s="495">
        <v>29.8</v>
      </c>
      <c r="C348" s="440">
        <v>21.4</v>
      </c>
      <c r="D348" s="441">
        <f t="shared" si="63"/>
        <v>25.6</v>
      </c>
      <c r="E348" s="452">
        <v>18.600000000000001</v>
      </c>
      <c r="F348" s="497"/>
      <c r="G348" s="513">
        <v>90</v>
      </c>
      <c r="H348" s="498">
        <v>72</v>
      </c>
      <c r="I348" s="445">
        <v>88</v>
      </c>
      <c r="J348" s="450">
        <v>1.77</v>
      </c>
      <c r="K348" s="442">
        <v>1.6</v>
      </c>
      <c r="L348" s="451">
        <v>2.5</v>
      </c>
      <c r="M348" s="448">
        <v>9.8000000000000007</v>
      </c>
    </row>
    <row r="349" spans="1:13" ht="18" customHeight="1" x14ac:dyDescent="0.35">
      <c r="A349" s="223">
        <v>24</v>
      </c>
      <c r="B349" s="495">
        <v>32</v>
      </c>
      <c r="C349" s="440">
        <v>18.600000000000001</v>
      </c>
      <c r="D349" s="441">
        <f t="shared" si="63"/>
        <v>25.3</v>
      </c>
      <c r="E349" s="452">
        <v>15.4</v>
      </c>
      <c r="F349" s="497">
        <v>2</v>
      </c>
      <c r="G349" s="513">
        <v>92</v>
      </c>
      <c r="H349" s="498">
        <v>70</v>
      </c>
      <c r="I349" s="445">
        <v>88</v>
      </c>
      <c r="J349" s="450">
        <v>1.61</v>
      </c>
      <c r="K349" s="442">
        <v>1.3</v>
      </c>
      <c r="L349" s="451">
        <v>2</v>
      </c>
      <c r="M349" s="448">
        <v>8.5</v>
      </c>
    </row>
    <row r="350" spans="1:13" ht="18" customHeight="1" x14ac:dyDescent="0.35">
      <c r="A350" s="223">
        <v>25</v>
      </c>
      <c r="B350" s="495">
        <v>30</v>
      </c>
      <c r="C350" s="440">
        <v>20.2</v>
      </c>
      <c r="D350" s="441">
        <f t="shared" si="63"/>
        <v>25.1</v>
      </c>
      <c r="E350" s="449">
        <v>18</v>
      </c>
      <c r="F350" s="497">
        <v>14</v>
      </c>
      <c r="G350" s="513">
        <v>92</v>
      </c>
      <c r="H350" s="498">
        <v>70</v>
      </c>
      <c r="I350" s="445">
        <v>88</v>
      </c>
      <c r="J350" s="450">
        <v>1.57</v>
      </c>
      <c r="K350" s="442">
        <v>1.4</v>
      </c>
      <c r="L350" s="451">
        <v>2.5</v>
      </c>
      <c r="M350" s="448">
        <v>6.5</v>
      </c>
    </row>
    <row r="351" spans="1:13" ht="18" customHeight="1" x14ac:dyDescent="0.35">
      <c r="A351" s="223">
        <v>26</v>
      </c>
      <c r="B351" s="495">
        <v>30</v>
      </c>
      <c r="C351" s="440">
        <v>22</v>
      </c>
      <c r="D351" s="441">
        <f t="shared" si="63"/>
        <v>26</v>
      </c>
      <c r="E351" s="449">
        <v>17.600000000000001</v>
      </c>
      <c r="F351" s="497"/>
      <c r="G351" s="462">
        <v>86</v>
      </c>
      <c r="H351" s="498">
        <v>72</v>
      </c>
      <c r="I351" s="498">
        <v>84</v>
      </c>
      <c r="J351" s="450">
        <v>1.79</v>
      </c>
      <c r="K351" s="442">
        <v>1.6</v>
      </c>
      <c r="L351" s="451">
        <v>2.5</v>
      </c>
      <c r="M351" s="448">
        <v>5.3</v>
      </c>
    </row>
    <row r="352" spans="1:13" ht="18" customHeight="1" x14ac:dyDescent="0.35">
      <c r="A352" s="223">
        <v>27</v>
      </c>
      <c r="B352" s="495">
        <v>29.6</v>
      </c>
      <c r="C352" s="440">
        <v>21.6</v>
      </c>
      <c r="D352" s="441">
        <f t="shared" si="63"/>
        <v>25.6</v>
      </c>
      <c r="E352" s="449">
        <v>18.8</v>
      </c>
      <c r="F352" s="497"/>
      <c r="G352" s="462">
        <v>85</v>
      </c>
      <c r="H352" s="498">
        <v>64</v>
      </c>
      <c r="I352" s="462">
        <v>82</v>
      </c>
      <c r="J352" s="450">
        <v>1.65</v>
      </c>
      <c r="K352" s="442">
        <v>1.4</v>
      </c>
      <c r="L352" s="451">
        <v>2</v>
      </c>
      <c r="M352" s="448">
        <v>10.6</v>
      </c>
    </row>
    <row r="353" spans="1:13" ht="18" customHeight="1" x14ac:dyDescent="0.35">
      <c r="A353" s="223">
        <v>28</v>
      </c>
      <c r="B353" s="495">
        <v>29</v>
      </c>
      <c r="C353" s="440">
        <v>21</v>
      </c>
      <c r="D353" s="441">
        <f t="shared" si="63"/>
        <v>25</v>
      </c>
      <c r="E353" s="449">
        <v>18.399999999999999</v>
      </c>
      <c r="F353" s="497"/>
      <c r="G353" s="462">
        <v>86</v>
      </c>
      <c r="H353" s="498">
        <v>64</v>
      </c>
      <c r="I353" s="462">
        <v>84</v>
      </c>
      <c r="J353" s="450">
        <v>2.4700000000000002</v>
      </c>
      <c r="K353" s="442">
        <v>2.2000000000000002</v>
      </c>
      <c r="L353" s="451">
        <v>3.5</v>
      </c>
      <c r="M353" s="448">
        <v>10.1</v>
      </c>
    </row>
    <row r="354" spans="1:13" ht="18" customHeight="1" x14ac:dyDescent="0.35">
      <c r="A354" s="223">
        <v>29</v>
      </c>
      <c r="B354" s="495">
        <v>28.4</v>
      </c>
      <c r="C354" s="440">
        <v>21.4</v>
      </c>
      <c r="D354" s="441">
        <f t="shared" si="63"/>
        <v>24.9</v>
      </c>
      <c r="E354" s="449">
        <v>18</v>
      </c>
      <c r="F354" s="497"/>
      <c r="G354" s="462">
        <v>92</v>
      </c>
      <c r="H354" s="498">
        <v>78</v>
      </c>
      <c r="I354" s="462">
        <v>88</v>
      </c>
      <c r="J354" s="450">
        <v>2.09</v>
      </c>
      <c r="K354" s="442">
        <v>1.9</v>
      </c>
      <c r="L354" s="451">
        <v>3</v>
      </c>
      <c r="M354" s="448">
        <v>9.6</v>
      </c>
    </row>
    <row r="355" spans="1:13" ht="18" customHeight="1" x14ac:dyDescent="0.35">
      <c r="A355" s="223">
        <v>30</v>
      </c>
      <c r="B355" s="495">
        <v>28.6</v>
      </c>
      <c r="C355" s="440">
        <v>22</v>
      </c>
      <c r="D355" s="441">
        <f t="shared" si="63"/>
        <v>25.3</v>
      </c>
      <c r="E355" s="449">
        <v>17.8</v>
      </c>
      <c r="F355" s="497"/>
      <c r="G355" s="462">
        <v>88</v>
      </c>
      <c r="H355" s="498">
        <v>72</v>
      </c>
      <c r="I355" s="462">
        <v>86</v>
      </c>
      <c r="J355" s="450">
        <v>2.4700000000000002</v>
      </c>
      <c r="K355" s="442">
        <v>2.2000000000000002</v>
      </c>
      <c r="L355" s="451">
        <v>3.5</v>
      </c>
      <c r="M355" s="448">
        <v>1.5</v>
      </c>
    </row>
    <row r="356" spans="1:13" ht="18" customHeight="1" thickBot="1" x14ac:dyDescent="0.4">
      <c r="A356" s="311">
        <v>31</v>
      </c>
      <c r="B356" s="515">
        <v>29.6</v>
      </c>
      <c r="C356" s="516">
        <v>22.4</v>
      </c>
      <c r="D356" s="517">
        <f>(B356+C356)/2</f>
        <v>26</v>
      </c>
      <c r="E356" s="518">
        <v>18</v>
      </c>
      <c r="F356" s="519"/>
      <c r="G356" s="520">
        <v>89</v>
      </c>
      <c r="H356" s="521">
        <v>67</v>
      </c>
      <c r="I356" s="520">
        <v>86</v>
      </c>
      <c r="J356" s="522">
        <v>3.21</v>
      </c>
      <c r="K356" s="516">
        <v>2.8</v>
      </c>
      <c r="L356" s="523">
        <v>4.5</v>
      </c>
      <c r="M356" s="524">
        <v>10.3</v>
      </c>
    </row>
    <row r="357" spans="1:13" ht="18" customHeight="1" thickBot="1" x14ac:dyDescent="0.4">
      <c r="A357" s="501" t="s">
        <v>35</v>
      </c>
      <c r="B357" s="525">
        <f>SUM(B346:B356)</f>
        <v>331.20000000000005</v>
      </c>
      <c r="C357" s="526">
        <f>SUM(C346:C356)</f>
        <v>232.4</v>
      </c>
      <c r="D357" s="526">
        <f>SUM(D346:D356)</f>
        <v>281.8</v>
      </c>
      <c r="E357" s="527">
        <f>SUM(E346:E356)</f>
        <v>195.8</v>
      </c>
      <c r="F357" s="528">
        <f>SUM(F346:F356)</f>
        <v>16</v>
      </c>
      <c r="G357" s="529">
        <f t="shared" ref="G357:M357" si="64">SUM(G346:G356)</f>
        <v>980</v>
      </c>
      <c r="H357" s="530">
        <f t="shared" si="64"/>
        <v>754</v>
      </c>
      <c r="I357" s="531">
        <f t="shared" si="64"/>
        <v>946</v>
      </c>
      <c r="J357" s="532">
        <f t="shared" si="64"/>
        <v>22.63</v>
      </c>
      <c r="K357" s="525">
        <f t="shared" si="64"/>
        <v>20.3</v>
      </c>
      <c r="L357" s="527">
        <f>SUM(L346:L356)</f>
        <v>32.5</v>
      </c>
      <c r="M357" s="533">
        <f t="shared" si="64"/>
        <v>83.699999999999989</v>
      </c>
    </row>
    <row r="358" spans="1:13" ht="18" customHeight="1" thickBot="1" x14ac:dyDescent="0.4">
      <c r="A358" s="534" t="s">
        <v>36</v>
      </c>
      <c r="B358" s="535">
        <f>B357+B345+B334</f>
        <v>983.80000000000007</v>
      </c>
      <c r="C358" s="536">
        <f t="shared" ref="C358:M358" si="65">C357+C345+C334</f>
        <v>629.6</v>
      </c>
      <c r="D358" s="536">
        <f t="shared" si="65"/>
        <v>806.7</v>
      </c>
      <c r="E358" s="537">
        <f t="shared" si="65"/>
        <v>539.4</v>
      </c>
      <c r="F358" s="538">
        <f t="shared" si="65"/>
        <v>16</v>
      </c>
      <c r="G358" s="539">
        <f t="shared" si="65"/>
        <v>2733</v>
      </c>
      <c r="H358" s="540">
        <f t="shared" si="65"/>
        <v>2027</v>
      </c>
      <c r="I358" s="541">
        <f t="shared" si="65"/>
        <v>2642</v>
      </c>
      <c r="J358" s="538">
        <f t="shared" si="65"/>
        <v>57.760000000000005</v>
      </c>
      <c r="K358" s="535">
        <f t="shared" si="65"/>
        <v>56.100000000000009</v>
      </c>
      <c r="L358" s="537">
        <f t="shared" si="65"/>
        <v>92</v>
      </c>
      <c r="M358" s="542">
        <f t="shared" si="65"/>
        <v>292.8</v>
      </c>
    </row>
    <row r="359" spans="1:13" ht="18" customHeight="1" thickBot="1" x14ac:dyDescent="0.4">
      <c r="A359" s="543" t="s">
        <v>19</v>
      </c>
      <c r="B359" s="539">
        <f>B358/31</f>
        <v>31.735483870967744</v>
      </c>
      <c r="C359" s="540">
        <f t="shared" ref="C359:J359" si="66">C358/31</f>
        <v>20.309677419354838</v>
      </c>
      <c r="D359" s="540">
        <f t="shared" si="66"/>
        <v>26.022580645161291</v>
      </c>
      <c r="E359" s="541">
        <f t="shared" si="66"/>
        <v>17.399999999999999</v>
      </c>
      <c r="F359" s="544" t="s">
        <v>52</v>
      </c>
      <c r="G359" s="545">
        <f t="shared" si="66"/>
        <v>88.161290322580641</v>
      </c>
      <c r="H359" s="546">
        <f t="shared" si="66"/>
        <v>65.387096774193552</v>
      </c>
      <c r="I359" s="547">
        <f t="shared" si="66"/>
        <v>85.225806451612897</v>
      </c>
      <c r="J359" s="548">
        <f t="shared" si="66"/>
        <v>1.8632258064516132</v>
      </c>
      <c r="K359" s="549"/>
      <c r="L359" s="550"/>
      <c r="M359" s="551"/>
    </row>
    <row r="360" spans="1:13" ht="15" thickBot="1" x14ac:dyDescent="0.4">
      <c r="F360" s="4"/>
      <c r="G360" s="4"/>
      <c r="H360" s="4"/>
      <c r="I360" s="4"/>
      <c r="J360" s="4"/>
      <c r="K360" s="4"/>
      <c r="L360" s="4"/>
      <c r="M360" s="4"/>
    </row>
    <row r="361" spans="1:13" ht="16" thickBot="1" x14ac:dyDescent="0.4">
      <c r="A361" s="1" t="s">
        <v>0</v>
      </c>
      <c r="B361" s="2"/>
      <c r="C361" s="2"/>
      <c r="D361" s="2"/>
      <c r="E361" s="2"/>
      <c r="F361" s="3"/>
      <c r="G361" s="4"/>
      <c r="H361" s="4"/>
      <c r="I361" s="4"/>
      <c r="J361" s="4"/>
      <c r="K361" s="4"/>
      <c r="L361" s="4"/>
      <c r="M361" s="4"/>
    </row>
    <row r="362" spans="1:13" ht="15.5" x14ac:dyDescent="0.35">
      <c r="A362" s="5" t="s">
        <v>2</v>
      </c>
      <c r="B362" s="6"/>
      <c r="C362" s="6"/>
      <c r="D362" s="6"/>
      <c r="E362" s="6"/>
      <c r="F362" s="7"/>
      <c r="G362" s="4"/>
      <c r="H362" s="4"/>
      <c r="I362" s="1" t="s">
        <v>3</v>
      </c>
      <c r="J362" s="2"/>
      <c r="K362" s="2"/>
      <c r="L362" s="2"/>
      <c r="M362" s="8"/>
    </row>
    <row r="363" spans="1:13" ht="15.5" x14ac:dyDescent="0.35">
      <c r="A363" s="5" t="s">
        <v>4</v>
      </c>
      <c r="B363" s="6"/>
      <c r="C363" s="6"/>
      <c r="D363" s="6"/>
      <c r="E363" s="6"/>
      <c r="F363" s="7"/>
      <c r="G363" s="4"/>
      <c r="H363" s="4"/>
      <c r="I363" s="5" t="s">
        <v>5</v>
      </c>
      <c r="J363" s="6"/>
      <c r="K363" s="6"/>
      <c r="L363" s="6"/>
      <c r="M363" s="10"/>
    </row>
    <row r="364" spans="1:13" ht="16" thickBot="1" x14ac:dyDescent="0.4">
      <c r="A364" s="11" t="s">
        <v>6</v>
      </c>
      <c r="B364" s="12"/>
      <c r="C364" s="12"/>
      <c r="D364" s="12"/>
      <c r="E364" s="12"/>
      <c r="F364" s="13"/>
      <c r="G364" s="4"/>
      <c r="H364" s="4"/>
      <c r="I364" s="11" t="s">
        <v>7</v>
      </c>
      <c r="J364" s="12"/>
      <c r="K364" s="12"/>
      <c r="L364" s="345" t="s">
        <v>53</v>
      </c>
      <c r="M364" s="346"/>
    </row>
    <row r="365" spans="1:13" ht="26" thickBot="1" x14ac:dyDescent="0.65">
      <c r="A365" s="17" t="s">
        <v>39</v>
      </c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8" customHeight="1" x14ac:dyDescent="0.35">
      <c r="A366" s="915" t="s">
        <v>10</v>
      </c>
      <c r="B366" s="918" t="s">
        <v>11</v>
      </c>
      <c r="C366" s="919"/>
      <c r="D366" s="919"/>
      <c r="E366" s="920"/>
      <c r="F366" s="132" t="s">
        <v>12</v>
      </c>
      <c r="G366" s="918" t="s">
        <v>13</v>
      </c>
      <c r="H366" s="919"/>
      <c r="I366" s="920"/>
      <c r="J366" s="132" t="s">
        <v>14</v>
      </c>
      <c r="K366" s="918" t="s">
        <v>15</v>
      </c>
      <c r="L366" s="920"/>
      <c r="M366" s="132" t="s">
        <v>16</v>
      </c>
    </row>
    <row r="367" spans="1:13" ht="18" customHeight="1" thickBot="1" x14ac:dyDescent="0.4">
      <c r="A367" s="916"/>
      <c r="B367" s="134" t="s">
        <v>17</v>
      </c>
      <c r="C367" s="135" t="s">
        <v>18</v>
      </c>
      <c r="D367" s="135" t="s">
        <v>19</v>
      </c>
      <c r="E367" s="200" t="s">
        <v>18</v>
      </c>
      <c r="F367" s="140" t="s">
        <v>20</v>
      </c>
      <c r="G367" s="924" t="s">
        <v>21</v>
      </c>
      <c r="H367" s="925"/>
      <c r="I367" s="926"/>
      <c r="J367" s="140" t="s">
        <v>22</v>
      </c>
      <c r="K367" s="924" t="s">
        <v>23</v>
      </c>
      <c r="L367" s="926"/>
      <c r="M367" s="140" t="s">
        <v>24</v>
      </c>
    </row>
    <row r="368" spans="1:13" ht="18" customHeight="1" thickBot="1" x14ac:dyDescent="0.4">
      <c r="A368" s="917"/>
      <c r="B368" s="142" t="s">
        <v>25</v>
      </c>
      <c r="C368" s="143" t="s">
        <v>25</v>
      </c>
      <c r="D368" s="552" t="s">
        <v>54</v>
      </c>
      <c r="E368" s="201" t="s">
        <v>26</v>
      </c>
      <c r="F368" s="270" t="s">
        <v>27</v>
      </c>
      <c r="G368" s="146" t="s">
        <v>28</v>
      </c>
      <c r="H368" s="147" t="s">
        <v>29</v>
      </c>
      <c r="I368" s="148" t="s">
        <v>30</v>
      </c>
      <c r="J368" s="553" t="s">
        <v>31</v>
      </c>
      <c r="K368" s="202" t="s">
        <v>32</v>
      </c>
      <c r="L368" s="201" t="s">
        <v>33</v>
      </c>
      <c r="M368" s="150" t="s">
        <v>34</v>
      </c>
    </row>
    <row r="369" spans="1:13" ht="18" customHeight="1" x14ac:dyDescent="0.35">
      <c r="A369" s="204">
        <v>1</v>
      </c>
      <c r="B369" s="554">
        <v>30</v>
      </c>
      <c r="C369" s="40">
        <v>16.600000000000001</v>
      </c>
      <c r="D369" s="41">
        <f>(B369+C369)/2</f>
        <v>23.3</v>
      </c>
      <c r="E369" s="42">
        <v>14</v>
      </c>
      <c r="F369" s="398"/>
      <c r="G369" s="158">
        <v>88</v>
      </c>
      <c r="H369" s="207">
        <v>60</v>
      </c>
      <c r="I369" s="81">
        <v>84</v>
      </c>
      <c r="J369" s="283">
        <v>0.82</v>
      </c>
      <c r="K369" s="43">
        <v>1.4</v>
      </c>
      <c r="L369" s="284">
        <v>2.5</v>
      </c>
      <c r="M369" s="48">
        <v>9</v>
      </c>
    </row>
    <row r="370" spans="1:13" ht="18" customHeight="1" x14ac:dyDescent="0.35">
      <c r="A370" s="209">
        <v>2</v>
      </c>
      <c r="B370" s="555">
        <v>29.4</v>
      </c>
      <c r="C370" s="52">
        <v>18.399999999999999</v>
      </c>
      <c r="D370" s="41">
        <f t="shared" ref="D370:D378" si="67">(B370+C370)/2</f>
        <v>23.9</v>
      </c>
      <c r="E370" s="53">
        <v>15.8</v>
      </c>
      <c r="F370" s="400"/>
      <c r="G370" s="62">
        <v>87</v>
      </c>
      <c r="H370" s="211">
        <v>64</v>
      </c>
      <c r="I370" s="57">
        <v>86</v>
      </c>
      <c r="J370" s="225">
        <v>0.68</v>
      </c>
      <c r="K370" s="54">
        <v>1.8</v>
      </c>
      <c r="L370" s="59">
        <v>3</v>
      </c>
      <c r="M370" s="59">
        <v>3.9</v>
      </c>
    </row>
    <row r="371" spans="1:13" ht="18" customHeight="1" x14ac:dyDescent="0.35">
      <c r="A371" s="209">
        <v>3</v>
      </c>
      <c r="B371" s="555">
        <v>32</v>
      </c>
      <c r="C371" s="60">
        <v>19.600000000000001</v>
      </c>
      <c r="D371" s="41">
        <f t="shared" si="67"/>
        <v>25.8</v>
      </c>
      <c r="E371" s="53">
        <v>17.2</v>
      </c>
      <c r="F371" s="400"/>
      <c r="G371" s="62">
        <v>90</v>
      </c>
      <c r="H371" s="211">
        <v>60</v>
      </c>
      <c r="I371" s="57">
        <v>87</v>
      </c>
      <c r="J371" s="225">
        <v>1.5</v>
      </c>
      <c r="K371" s="54">
        <v>1.6</v>
      </c>
      <c r="L371" s="59">
        <v>2.5</v>
      </c>
      <c r="M371" s="59">
        <v>6</v>
      </c>
    </row>
    <row r="372" spans="1:13" ht="18" customHeight="1" x14ac:dyDescent="0.35">
      <c r="A372" s="209">
        <v>4</v>
      </c>
      <c r="B372" s="555">
        <v>28.8</v>
      </c>
      <c r="C372" s="60">
        <v>20</v>
      </c>
      <c r="D372" s="41">
        <f t="shared" si="67"/>
        <v>24.4</v>
      </c>
      <c r="E372" s="61">
        <v>17.8</v>
      </c>
      <c r="F372" s="400"/>
      <c r="G372" s="62">
        <v>87</v>
      </c>
      <c r="H372" s="211">
        <v>64</v>
      </c>
      <c r="I372" s="57">
        <v>86</v>
      </c>
      <c r="J372" s="225">
        <v>1.45</v>
      </c>
      <c r="K372" s="54">
        <v>2.5</v>
      </c>
      <c r="L372" s="59">
        <v>4</v>
      </c>
      <c r="M372" s="59">
        <v>3.9</v>
      </c>
    </row>
    <row r="373" spans="1:13" ht="18" customHeight="1" x14ac:dyDescent="0.35">
      <c r="A373" s="209">
        <v>5</v>
      </c>
      <c r="B373" s="555">
        <v>28</v>
      </c>
      <c r="C373" s="52">
        <v>20.2</v>
      </c>
      <c r="D373" s="41">
        <f t="shared" si="67"/>
        <v>24.1</v>
      </c>
      <c r="E373" s="61">
        <v>18</v>
      </c>
      <c r="F373" s="400"/>
      <c r="G373" s="62">
        <v>88</v>
      </c>
      <c r="H373" s="211">
        <v>76</v>
      </c>
      <c r="I373" s="57">
        <v>86</v>
      </c>
      <c r="J373" s="225">
        <v>1.4</v>
      </c>
      <c r="K373" s="54">
        <v>1.3</v>
      </c>
      <c r="L373" s="59">
        <v>2</v>
      </c>
      <c r="M373" s="59">
        <v>6.5</v>
      </c>
    </row>
    <row r="374" spans="1:13" ht="18" customHeight="1" x14ac:dyDescent="0.35">
      <c r="A374" s="209">
        <v>6</v>
      </c>
      <c r="B374" s="555">
        <v>27.4</v>
      </c>
      <c r="C374" s="52">
        <v>20.8</v>
      </c>
      <c r="D374" s="41">
        <f t="shared" si="67"/>
        <v>24.1</v>
      </c>
      <c r="E374" s="61">
        <v>18.2</v>
      </c>
      <c r="F374" s="400"/>
      <c r="G374" s="62">
        <v>87</v>
      </c>
      <c r="H374" s="211">
        <v>70</v>
      </c>
      <c r="I374" s="62">
        <v>86</v>
      </c>
      <c r="J374" s="225">
        <v>1.53</v>
      </c>
      <c r="K374" s="54">
        <v>1.5</v>
      </c>
      <c r="L374" s="59">
        <v>2.5</v>
      </c>
      <c r="M374" s="59">
        <v>6.5</v>
      </c>
    </row>
    <row r="375" spans="1:13" ht="18" customHeight="1" x14ac:dyDescent="0.35">
      <c r="A375" s="209">
        <v>7</v>
      </c>
      <c r="B375" s="555">
        <v>31.6</v>
      </c>
      <c r="C375" s="52">
        <v>21</v>
      </c>
      <c r="D375" s="41">
        <f t="shared" si="67"/>
        <v>26.3</v>
      </c>
      <c r="E375" s="61">
        <v>19.600000000000001</v>
      </c>
      <c r="F375" s="400"/>
      <c r="G375" s="62">
        <v>87</v>
      </c>
      <c r="H375" s="211">
        <v>62</v>
      </c>
      <c r="I375" s="62">
        <v>84</v>
      </c>
      <c r="J375" s="225">
        <v>1.71</v>
      </c>
      <c r="K375" s="54">
        <v>1.4</v>
      </c>
      <c r="L375" s="59">
        <v>2.5</v>
      </c>
      <c r="M375" s="59">
        <v>10.6</v>
      </c>
    </row>
    <row r="376" spans="1:13" ht="18" customHeight="1" x14ac:dyDescent="0.35">
      <c r="A376" s="209">
        <v>8</v>
      </c>
      <c r="B376" s="555">
        <v>30.8</v>
      </c>
      <c r="C376" s="52">
        <v>20.2</v>
      </c>
      <c r="D376" s="41">
        <f t="shared" si="67"/>
        <v>25.5</v>
      </c>
      <c r="E376" s="61">
        <v>18</v>
      </c>
      <c r="F376" s="400"/>
      <c r="G376" s="62">
        <v>86</v>
      </c>
      <c r="H376" s="211">
        <v>66</v>
      </c>
      <c r="I376" s="62">
        <v>84</v>
      </c>
      <c r="J376" s="225">
        <v>1.72</v>
      </c>
      <c r="K376" s="54">
        <v>1.5</v>
      </c>
      <c r="L376" s="59">
        <v>2.5</v>
      </c>
      <c r="M376" s="59">
        <v>0.9</v>
      </c>
    </row>
    <row r="377" spans="1:13" ht="18" customHeight="1" x14ac:dyDescent="0.35">
      <c r="A377" s="209">
        <v>9</v>
      </c>
      <c r="B377" s="555">
        <v>29.8</v>
      </c>
      <c r="C377" s="52">
        <v>19.600000000000001</v>
      </c>
      <c r="D377" s="41">
        <f t="shared" si="67"/>
        <v>24.700000000000003</v>
      </c>
      <c r="E377" s="61">
        <v>17.399999999999999</v>
      </c>
      <c r="F377" s="400"/>
      <c r="G377" s="62">
        <v>90</v>
      </c>
      <c r="H377" s="211">
        <v>74</v>
      </c>
      <c r="I377" s="62">
        <v>86</v>
      </c>
      <c r="J377" s="225">
        <v>1.45</v>
      </c>
      <c r="K377" s="54">
        <v>2.2999999999999998</v>
      </c>
      <c r="L377" s="59">
        <v>4</v>
      </c>
      <c r="M377" s="59">
        <v>8.5</v>
      </c>
    </row>
    <row r="378" spans="1:13" ht="18" customHeight="1" thickBot="1" x14ac:dyDescent="0.4">
      <c r="A378" s="214">
        <v>10</v>
      </c>
      <c r="B378" s="555">
        <v>28.6</v>
      </c>
      <c r="C378" s="60">
        <v>14.6</v>
      </c>
      <c r="D378" s="41">
        <f t="shared" si="67"/>
        <v>21.6</v>
      </c>
      <c r="E378" s="53">
        <v>12.2</v>
      </c>
      <c r="F378" s="400"/>
      <c r="G378" s="62">
        <v>90</v>
      </c>
      <c r="H378" s="211">
        <v>64</v>
      </c>
      <c r="I378" s="57">
        <v>86</v>
      </c>
      <c r="J378" s="225">
        <v>1.52</v>
      </c>
      <c r="K378" s="54">
        <v>2</v>
      </c>
      <c r="L378" s="59">
        <v>3.5</v>
      </c>
      <c r="M378" s="235">
        <v>2.8</v>
      </c>
    </row>
    <row r="379" spans="1:13" ht="18" customHeight="1" thickBot="1" x14ac:dyDescent="0.4">
      <c r="A379" s="298" t="s">
        <v>35</v>
      </c>
      <c r="B379" s="407">
        <f t="shared" ref="B379:L379" si="68">SUM(B369:B378)</f>
        <v>296.40000000000003</v>
      </c>
      <c r="C379" s="407">
        <f t="shared" si="68"/>
        <v>190.99999999999997</v>
      </c>
      <c r="D379" s="407">
        <f t="shared" si="68"/>
        <v>243.70000000000002</v>
      </c>
      <c r="E379" s="407">
        <f t="shared" si="68"/>
        <v>168.2</v>
      </c>
      <c r="F379" s="410">
        <f t="shared" si="68"/>
        <v>0</v>
      </c>
      <c r="G379" s="413">
        <f t="shared" si="68"/>
        <v>880</v>
      </c>
      <c r="H379" s="412">
        <f t="shared" si="68"/>
        <v>660</v>
      </c>
      <c r="I379" s="556">
        <f t="shared" si="68"/>
        <v>855</v>
      </c>
      <c r="J379" s="415">
        <f t="shared" si="68"/>
        <v>13.78</v>
      </c>
      <c r="K379" s="407">
        <f t="shared" si="68"/>
        <v>17.3</v>
      </c>
      <c r="L379" s="409">
        <f t="shared" si="68"/>
        <v>29</v>
      </c>
      <c r="M379" s="372">
        <f>SUM(M369:M378)</f>
        <v>58.599999999999994</v>
      </c>
    </row>
    <row r="380" spans="1:13" ht="18" customHeight="1" x14ac:dyDescent="0.35">
      <c r="A380" s="204">
        <v>11</v>
      </c>
      <c r="B380" s="555">
        <v>25.8</v>
      </c>
      <c r="C380" s="60">
        <v>15.4</v>
      </c>
      <c r="D380" s="41">
        <f t="shared" ref="D380:D389" si="69">(B380+C380)/2</f>
        <v>20.6</v>
      </c>
      <c r="E380" s="53">
        <v>12.8</v>
      </c>
      <c r="F380" s="400"/>
      <c r="G380" s="62">
        <v>87</v>
      </c>
      <c r="H380" s="211">
        <v>70</v>
      </c>
      <c r="I380" s="57">
        <v>84</v>
      </c>
      <c r="J380" s="225">
        <v>1.37</v>
      </c>
      <c r="K380" s="54">
        <v>1.4</v>
      </c>
      <c r="L380" s="307">
        <v>2.5</v>
      </c>
      <c r="M380" s="48">
        <v>10.199999999999999</v>
      </c>
    </row>
    <row r="381" spans="1:13" ht="18" customHeight="1" x14ac:dyDescent="0.35">
      <c r="A381" s="209">
        <v>12</v>
      </c>
      <c r="B381" s="555">
        <v>30</v>
      </c>
      <c r="C381" s="52">
        <v>16.8</v>
      </c>
      <c r="D381" s="41">
        <f t="shared" si="69"/>
        <v>23.4</v>
      </c>
      <c r="E381" s="61">
        <v>13.6</v>
      </c>
      <c r="F381" s="400"/>
      <c r="G381" s="62">
        <v>90</v>
      </c>
      <c r="H381" s="211">
        <v>58</v>
      </c>
      <c r="I381" s="57">
        <v>87</v>
      </c>
      <c r="J381" s="225">
        <v>1.6</v>
      </c>
      <c r="K381" s="43">
        <v>2.4</v>
      </c>
      <c r="L381" s="307">
        <v>4</v>
      </c>
      <c r="M381" s="59">
        <v>9.4</v>
      </c>
    </row>
    <row r="382" spans="1:13" ht="18" customHeight="1" x14ac:dyDescent="0.35">
      <c r="A382" s="209">
        <v>13</v>
      </c>
      <c r="B382" s="555">
        <v>28.6</v>
      </c>
      <c r="C382" s="52">
        <v>17.2</v>
      </c>
      <c r="D382" s="41">
        <f t="shared" si="69"/>
        <v>22.9</v>
      </c>
      <c r="E382" s="61">
        <v>14.6</v>
      </c>
      <c r="F382" s="400"/>
      <c r="G382" s="62">
        <v>88</v>
      </c>
      <c r="H382" s="211">
        <v>65</v>
      </c>
      <c r="I382" s="57">
        <v>84</v>
      </c>
      <c r="J382" s="225">
        <v>2.65</v>
      </c>
      <c r="K382" s="43">
        <v>2.2000000000000002</v>
      </c>
      <c r="L382" s="307">
        <v>3.5</v>
      </c>
      <c r="M382" s="59">
        <v>10.5</v>
      </c>
    </row>
    <row r="383" spans="1:13" ht="18" customHeight="1" x14ac:dyDescent="0.35">
      <c r="A383" s="209">
        <v>14</v>
      </c>
      <c r="B383" s="555">
        <v>28.6</v>
      </c>
      <c r="C383" s="52">
        <v>18.600000000000001</v>
      </c>
      <c r="D383" s="41">
        <f t="shared" si="69"/>
        <v>23.6</v>
      </c>
      <c r="E383" s="61">
        <v>15.2</v>
      </c>
      <c r="F383" s="400"/>
      <c r="G383" s="62">
        <v>87</v>
      </c>
      <c r="H383" s="211">
        <v>64</v>
      </c>
      <c r="I383" s="57">
        <v>86</v>
      </c>
      <c r="J383" s="225">
        <v>3.29</v>
      </c>
      <c r="K383" s="43">
        <v>3</v>
      </c>
      <c r="L383" s="307">
        <v>5</v>
      </c>
      <c r="M383" s="59">
        <v>10.6</v>
      </c>
    </row>
    <row r="384" spans="1:13" ht="18" customHeight="1" x14ac:dyDescent="0.35">
      <c r="A384" s="209">
        <v>15</v>
      </c>
      <c r="B384" s="555">
        <v>27</v>
      </c>
      <c r="C384" s="52">
        <v>17.600000000000001</v>
      </c>
      <c r="D384" s="41">
        <f t="shared" si="69"/>
        <v>22.3</v>
      </c>
      <c r="E384" s="61">
        <v>14.6</v>
      </c>
      <c r="F384" s="400"/>
      <c r="G384" s="62">
        <v>90</v>
      </c>
      <c r="H384" s="211">
        <v>70</v>
      </c>
      <c r="I384" s="57">
        <v>87</v>
      </c>
      <c r="J384" s="225">
        <v>0.79</v>
      </c>
      <c r="K384" s="43">
        <v>0.8</v>
      </c>
      <c r="L384" s="307">
        <v>1.5</v>
      </c>
      <c r="M384" s="59">
        <v>10</v>
      </c>
    </row>
    <row r="385" spans="1:13" ht="18" customHeight="1" x14ac:dyDescent="0.35">
      <c r="A385" s="209">
        <v>16</v>
      </c>
      <c r="B385" s="555">
        <v>27.4</v>
      </c>
      <c r="C385" s="52">
        <v>15.6</v>
      </c>
      <c r="D385" s="41">
        <f t="shared" si="69"/>
        <v>21.5</v>
      </c>
      <c r="E385" s="61">
        <v>13.4</v>
      </c>
      <c r="F385" s="400"/>
      <c r="G385" s="62">
        <v>87</v>
      </c>
      <c r="H385" s="211">
        <v>64</v>
      </c>
      <c r="I385" s="57">
        <v>84</v>
      </c>
      <c r="J385" s="225">
        <v>1.47</v>
      </c>
      <c r="K385" s="43">
        <v>1.4</v>
      </c>
      <c r="L385" s="307">
        <v>2.5</v>
      </c>
      <c r="M385" s="59">
        <v>10.5</v>
      </c>
    </row>
    <row r="386" spans="1:13" ht="18" customHeight="1" x14ac:dyDescent="0.35">
      <c r="A386" s="209">
        <v>17</v>
      </c>
      <c r="B386" s="555">
        <v>29</v>
      </c>
      <c r="C386" s="60">
        <v>18.399999999999999</v>
      </c>
      <c r="D386" s="41">
        <f t="shared" si="69"/>
        <v>23.7</v>
      </c>
      <c r="E386" s="61">
        <v>15</v>
      </c>
      <c r="F386" s="400"/>
      <c r="G386" s="62">
        <v>90</v>
      </c>
      <c r="H386" s="211">
        <v>52</v>
      </c>
      <c r="I386" s="57">
        <v>82</v>
      </c>
      <c r="J386" s="225">
        <v>1.31</v>
      </c>
      <c r="K386" s="43">
        <v>1.2</v>
      </c>
      <c r="L386" s="307">
        <v>2</v>
      </c>
      <c r="M386" s="59">
        <v>10.1</v>
      </c>
    </row>
    <row r="387" spans="1:13" ht="18" customHeight="1" x14ac:dyDescent="0.35">
      <c r="A387" s="209">
        <v>18</v>
      </c>
      <c r="B387" s="555">
        <v>29.4</v>
      </c>
      <c r="C387" s="60">
        <v>16.2</v>
      </c>
      <c r="D387" s="41">
        <f t="shared" si="69"/>
        <v>22.799999999999997</v>
      </c>
      <c r="E387" s="53">
        <v>13.6</v>
      </c>
      <c r="F387" s="400"/>
      <c r="G387" s="62">
        <v>89</v>
      </c>
      <c r="H387" s="211">
        <v>60</v>
      </c>
      <c r="I387" s="57">
        <v>86</v>
      </c>
      <c r="J387" s="225">
        <v>1.64</v>
      </c>
      <c r="K387" s="43">
        <v>1.5</v>
      </c>
      <c r="L387" s="307">
        <v>2.5</v>
      </c>
      <c r="M387" s="59">
        <v>10.3</v>
      </c>
    </row>
    <row r="388" spans="1:13" ht="18" customHeight="1" x14ac:dyDescent="0.35">
      <c r="A388" s="209">
        <v>19</v>
      </c>
      <c r="B388" s="555">
        <v>26.8</v>
      </c>
      <c r="C388" s="60">
        <v>17.399999999999999</v>
      </c>
      <c r="D388" s="41">
        <f t="shared" si="69"/>
        <v>22.1</v>
      </c>
      <c r="E388" s="61">
        <v>14.8</v>
      </c>
      <c r="F388" s="307">
        <v>16.5</v>
      </c>
      <c r="G388" s="62">
        <v>88</v>
      </c>
      <c r="H388" s="211">
        <v>62</v>
      </c>
      <c r="I388" s="57">
        <v>84</v>
      </c>
      <c r="J388" s="225">
        <v>1.44</v>
      </c>
      <c r="K388" s="43">
        <v>1.4</v>
      </c>
      <c r="L388" s="307">
        <v>2.5</v>
      </c>
      <c r="M388" s="59">
        <v>10.4</v>
      </c>
    </row>
    <row r="389" spans="1:13" ht="18" customHeight="1" thickBot="1" x14ac:dyDescent="0.4">
      <c r="A389" s="214">
        <v>20</v>
      </c>
      <c r="B389" s="555">
        <v>26.6</v>
      </c>
      <c r="C389" s="60">
        <v>16.399999999999999</v>
      </c>
      <c r="D389" s="41">
        <f t="shared" si="69"/>
        <v>21.5</v>
      </c>
      <c r="E389" s="61">
        <v>13.4</v>
      </c>
      <c r="F389" s="400"/>
      <c r="G389" s="62">
        <v>86</v>
      </c>
      <c r="H389" s="211">
        <v>64</v>
      </c>
      <c r="I389" s="57">
        <v>81</v>
      </c>
      <c r="J389" s="225">
        <v>1.25</v>
      </c>
      <c r="K389" s="43">
        <v>1.2</v>
      </c>
      <c r="L389" s="291">
        <v>2</v>
      </c>
      <c r="M389" s="59">
        <v>10.5</v>
      </c>
    </row>
    <row r="390" spans="1:13" ht="18" customHeight="1" thickBot="1" x14ac:dyDescent="0.4">
      <c r="A390" s="298" t="s">
        <v>35</v>
      </c>
      <c r="B390" s="409">
        <f t="shared" ref="B390:L390" si="70">SUM(B380:B389)</f>
        <v>279.20000000000005</v>
      </c>
      <c r="C390" s="407">
        <f t="shared" si="70"/>
        <v>169.6</v>
      </c>
      <c r="D390" s="407">
        <f t="shared" si="70"/>
        <v>224.4</v>
      </c>
      <c r="E390" s="407">
        <f t="shared" si="70"/>
        <v>141</v>
      </c>
      <c r="F390" s="410">
        <f t="shared" si="70"/>
        <v>16.5</v>
      </c>
      <c r="G390" s="413">
        <f t="shared" si="70"/>
        <v>882</v>
      </c>
      <c r="H390" s="557">
        <v>60</v>
      </c>
      <c r="I390" s="558">
        <v>84</v>
      </c>
      <c r="J390" s="559">
        <f t="shared" si="70"/>
        <v>16.810000000000002</v>
      </c>
      <c r="K390" s="408">
        <f t="shared" si="70"/>
        <v>16.5</v>
      </c>
      <c r="L390" s="415">
        <f t="shared" si="70"/>
        <v>28</v>
      </c>
      <c r="M390" s="372">
        <f>SUM(M380:M389)</f>
        <v>102.5</v>
      </c>
    </row>
    <row r="391" spans="1:13" ht="18" customHeight="1" x14ac:dyDescent="0.35">
      <c r="A391" s="306">
        <v>21</v>
      </c>
      <c r="B391" s="555">
        <v>28.4</v>
      </c>
      <c r="C391" s="60">
        <v>20.2</v>
      </c>
      <c r="D391" s="41">
        <f t="shared" ref="D391:D400" si="71">(B391+C391)/2</f>
        <v>24.299999999999997</v>
      </c>
      <c r="E391" s="61">
        <v>17.8</v>
      </c>
      <c r="F391" s="400"/>
      <c r="G391" s="62">
        <v>87</v>
      </c>
      <c r="H391" s="211">
        <v>72</v>
      </c>
      <c r="I391" s="57">
        <v>85</v>
      </c>
      <c r="J391" s="225">
        <v>1.38</v>
      </c>
      <c r="K391" s="43">
        <v>1.3</v>
      </c>
      <c r="L391" s="291">
        <v>2</v>
      </c>
      <c r="M391" s="205">
        <v>3.6</v>
      </c>
    </row>
    <row r="392" spans="1:13" ht="18" customHeight="1" x14ac:dyDescent="0.35">
      <c r="A392" s="209">
        <v>22</v>
      </c>
      <c r="B392" s="555">
        <v>28.2</v>
      </c>
      <c r="C392" s="60">
        <v>19.600000000000001</v>
      </c>
      <c r="D392" s="41">
        <f t="shared" si="71"/>
        <v>23.9</v>
      </c>
      <c r="E392" s="53">
        <v>16.600000000000001</v>
      </c>
      <c r="F392" s="400"/>
      <c r="G392" s="62">
        <v>90</v>
      </c>
      <c r="H392" s="211">
        <v>60</v>
      </c>
      <c r="I392" s="62">
        <v>86</v>
      </c>
      <c r="J392" s="225">
        <v>1.22</v>
      </c>
      <c r="K392" s="43">
        <v>1.4</v>
      </c>
      <c r="L392" s="291">
        <v>2.5</v>
      </c>
      <c r="M392" s="59">
        <v>3.5</v>
      </c>
    </row>
    <row r="393" spans="1:13" ht="18" customHeight="1" x14ac:dyDescent="0.35">
      <c r="A393" s="209">
        <v>23</v>
      </c>
      <c r="B393" s="555">
        <v>26</v>
      </c>
      <c r="C393" s="60">
        <v>15.8</v>
      </c>
      <c r="D393" s="41">
        <f t="shared" si="71"/>
        <v>20.9</v>
      </c>
      <c r="E393" s="61">
        <v>13.2</v>
      </c>
      <c r="F393" s="400"/>
      <c r="G393" s="62">
        <v>91</v>
      </c>
      <c r="H393" s="211">
        <v>60</v>
      </c>
      <c r="I393" s="62">
        <v>88</v>
      </c>
      <c r="J393" s="225">
        <v>1.25</v>
      </c>
      <c r="K393" s="43">
        <v>1.6</v>
      </c>
      <c r="L393" s="291">
        <v>2.5</v>
      </c>
      <c r="M393" s="59">
        <v>5.4</v>
      </c>
    </row>
    <row r="394" spans="1:13" ht="18" customHeight="1" x14ac:dyDescent="0.35">
      <c r="A394" s="209">
        <v>24</v>
      </c>
      <c r="B394" s="555">
        <v>24.8</v>
      </c>
      <c r="C394" s="60">
        <v>14.2</v>
      </c>
      <c r="D394" s="41">
        <f t="shared" si="71"/>
        <v>19.5</v>
      </c>
      <c r="E394" s="61">
        <v>11.8</v>
      </c>
      <c r="F394" s="400"/>
      <c r="G394" s="62">
        <v>87</v>
      </c>
      <c r="H394" s="211">
        <v>70</v>
      </c>
      <c r="I394" s="62">
        <v>84</v>
      </c>
      <c r="J394" s="225">
        <v>1.42</v>
      </c>
      <c r="K394" s="43">
        <v>1.5</v>
      </c>
      <c r="L394" s="451">
        <v>2.5</v>
      </c>
      <c r="M394" s="59">
        <v>4.0999999999999996</v>
      </c>
    </row>
    <row r="395" spans="1:13" ht="18" customHeight="1" x14ac:dyDescent="0.35">
      <c r="A395" s="209">
        <v>25</v>
      </c>
      <c r="B395" s="555">
        <v>27.2</v>
      </c>
      <c r="C395" s="60">
        <v>11.6</v>
      </c>
      <c r="D395" s="41">
        <f t="shared" si="71"/>
        <v>19.399999999999999</v>
      </c>
      <c r="E395" s="53">
        <v>10.199999999999999</v>
      </c>
      <c r="F395" s="400"/>
      <c r="G395" s="62">
        <v>88</v>
      </c>
      <c r="H395" s="211">
        <v>64</v>
      </c>
      <c r="I395" s="62">
        <v>82</v>
      </c>
      <c r="J395" s="225">
        <v>1.31</v>
      </c>
      <c r="K395" s="43">
        <v>1.3</v>
      </c>
      <c r="L395" s="451">
        <v>2</v>
      </c>
      <c r="M395" s="59">
        <v>6.4</v>
      </c>
    </row>
    <row r="396" spans="1:13" ht="18" customHeight="1" x14ac:dyDescent="0.35">
      <c r="A396" s="209">
        <v>26</v>
      </c>
      <c r="B396" s="555">
        <v>26.4</v>
      </c>
      <c r="C396" s="60">
        <v>14.8</v>
      </c>
      <c r="D396" s="41">
        <f t="shared" si="71"/>
        <v>20.6</v>
      </c>
      <c r="E396" s="53">
        <v>11.6</v>
      </c>
      <c r="F396" s="400"/>
      <c r="G396" s="57">
        <v>87</v>
      </c>
      <c r="H396" s="211">
        <v>60</v>
      </c>
      <c r="I396" s="57">
        <v>84</v>
      </c>
      <c r="J396" s="225">
        <v>1.57</v>
      </c>
      <c r="K396" s="43">
        <v>2</v>
      </c>
      <c r="L396" s="307">
        <v>3.5</v>
      </c>
      <c r="M396" s="59">
        <v>3</v>
      </c>
    </row>
    <row r="397" spans="1:13" ht="18" customHeight="1" x14ac:dyDescent="0.35">
      <c r="A397" s="209">
        <v>27</v>
      </c>
      <c r="B397" s="555">
        <v>26.6</v>
      </c>
      <c r="C397" s="60">
        <v>16.399999999999999</v>
      </c>
      <c r="D397" s="41">
        <f t="shared" si="71"/>
        <v>21.5</v>
      </c>
      <c r="E397" s="53">
        <v>13.6</v>
      </c>
      <c r="F397" s="400"/>
      <c r="G397" s="57">
        <v>91</v>
      </c>
      <c r="H397" s="211">
        <v>64</v>
      </c>
      <c r="I397" s="57">
        <v>84</v>
      </c>
      <c r="J397" s="225">
        <v>1.54</v>
      </c>
      <c r="K397" s="43">
        <v>1.5</v>
      </c>
      <c r="L397" s="307">
        <v>2.5</v>
      </c>
      <c r="M397" s="59">
        <v>6.1</v>
      </c>
    </row>
    <row r="398" spans="1:13" ht="18" customHeight="1" x14ac:dyDescent="0.35">
      <c r="A398" s="209">
        <v>28</v>
      </c>
      <c r="B398" s="555">
        <v>26</v>
      </c>
      <c r="C398" s="60">
        <v>15.8</v>
      </c>
      <c r="D398" s="41">
        <f t="shared" si="71"/>
        <v>20.9</v>
      </c>
      <c r="E398" s="53">
        <v>12.8</v>
      </c>
      <c r="F398" s="400"/>
      <c r="G398" s="57">
        <v>88</v>
      </c>
      <c r="H398" s="211">
        <v>62</v>
      </c>
      <c r="I398" s="57">
        <v>86</v>
      </c>
      <c r="J398" s="225">
        <v>2.2599999999999998</v>
      </c>
      <c r="K398" s="43">
        <v>2.2999999999999998</v>
      </c>
      <c r="L398" s="307">
        <v>4</v>
      </c>
      <c r="M398" s="59">
        <v>9.9</v>
      </c>
    </row>
    <row r="399" spans="1:13" ht="18" customHeight="1" x14ac:dyDescent="0.35">
      <c r="A399" s="209">
        <v>29</v>
      </c>
      <c r="B399" s="555">
        <v>25.4</v>
      </c>
      <c r="C399" s="60">
        <v>16.8</v>
      </c>
      <c r="D399" s="41">
        <f t="shared" si="71"/>
        <v>21.1</v>
      </c>
      <c r="E399" s="53">
        <v>13.4</v>
      </c>
      <c r="F399" s="400"/>
      <c r="G399" s="57">
        <v>88</v>
      </c>
      <c r="H399" s="211">
        <v>66</v>
      </c>
      <c r="I399" s="57">
        <v>84</v>
      </c>
      <c r="J399" s="225">
        <v>1.57</v>
      </c>
      <c r="K399" s="43">
        <v>1.6</v>
      </c>
      <c r="L399" s="307">
        <v>2.5</v>
      </c>
      <c r="M399" s="59">
        <v>8.1999999999999993</v>
      </c>
    </row>
    <row r="400" spans="1:13" ht="18" customHeight="1" x14ac:dyDescent="0.35">
      <c r="A400" s="209">
        <v>30</v>
      </c>
      <c r="B400" s="555">
        <v>25.6</v>
      </c>
      <c r="C400" s="60">
        <v>18.2</v>
      </c>
      <c r="D400" s="41">
        <f t="shared" si="71"/>
        <v>21.9</v>
      </c>
      <c r="E400" s="53">
        <v>15.8</v>
      </c>
      <c r="F400" s="400"/>
      <c r="G400" s="57">
        <v>88</v>
      </c>
      <c r="H400" s="211">
        <v>62</v>
      </c>
      <c r="I400" s="57">
        <v>86</v>
      </c>
      <c r="J400" s="225">
        <v>1.38</v>
      </c>
      <c r="K400" s="43">
        <v>1.4</v>
      </c>
      <c r="L400" s="307">
        <v>2.5</v>
      </c>
      <c r="M400" s="235">
        <v>8.9</v>
      </c>
    </row>
    <row r="401" spans="1:13" ht="18" customHeight="1" thickBot="1" x14ac:dyDescent="0.4">
      <c r="A401" s="231">
        <v>31</v>
      </c>
      <c r="B401" s="560"/>
      <c r="C401" s="95"/>
      <c r="D401" s="41"/>
      <c r="E401" s="96"/>
      <c r="F401" s="561"/>
      <c r="G401" s="423"/>
      <c r="H401" s="562"/>
      <c r="I401" s="563"/>
      <c r="J401" s="564"/>
      <c r="K401" s="419"/>
      <c r="L401" s="565"/>
      <c r="M401" s="566"/>
    </row>
    <row r="402" spans="1:13" ht="18" customHeight="1" thickBot="1" x14ac:dyDescent="0.4">
      <c r="A402" s="298" t="s">
        <v>35</v>
      </c>
      <c r="B402" s="367">
        <f>SUM(B391:B401)</f>
        <v>264.60000000000002</v>
      </c>
      <c r="C402" s="367">
        <f>SUM(C391:C401)</f>
        <v>163.4</v>
      </c>
      <c r="D402" s="367">
        <f>SUM(D391:D401)</f>
        <v>214</v>
      </c>
      <c r="E402" s="367">
        <f>SUM(E391:E401)</f>
        <v>136.80000000000001</v>
      </c>
      <c r="F402" s="407">
        <v>0</v>
      </c>
      <c r="G402" s="567">
        <f t="shared" ref="G402:M402" si="72">SUM(G391:G401)</f>
        <v>885</v>
      </c>
      <c r="H402" s="568">
        <f t="shared" si="72"/>
        <v>640</v>
      </c>
      <c r="I402" s="567">
        <f t="shared" si="72"/>
        <v>849</v>
      </c>
      <c r="J402" s="569">
        <f t="shared" si="72"/>
        <v>14.900000000000002</v>
      </c>
      <c r="K402" s="569">
        <f t="shared" si="72"/>
        <v>15.900000000000002</v>
      </c>
      <c r="L402" s="569">
        <f t="shared" si="72"/>
        <v>26.5</v>
      </c>
      <c r="M402" s="410">
        <f t="shared" si="72"/>
        <v>59.1</v>
      </c>
    </row>
    <row r="403" spans="1:13" ht="18" customHeight="1" thickBot="1" x14ac:dyDescent="0.4">
      <c r="A403" s="186" t="s">
        <v>36</v>
      </c>
      <c r="B403" s="570">
        <f>B390+B379+B402</f>
        <v>840.20000000000016</v>
      </c>
      <c r="C403" s="570">
        <f t="shared" ref="C403:M403" si="73">C390+C379+C402</f>
        <v>524</v>
      </c>
      <c r="D403" s="570">
        <f t="shared" si="73"/>
        <v>682.1</v>
      </c>
      <c r="E403" s="570">
        <f t="shared" si="73"/>
        <v>446</v>
      </c>
      <c r="F403" s="571">
        <f t="shared" si="73"/>
        <v>16.5</v>
      </c>
      <c r="G403" s="571">
        <f t="shared" si="73"/>
        <v>2647</v>
      </c>
      <c r="H403" s="571">
        <f t="shared" si="73"/>
        <v>1360</v>
      </c>
      <c r="I403" s="571">
        <f t="shared" si="73"/>
        <v>1788</v>
      </c>
      <c r="J403" s="571">
        <f t="shared" si="73"/>
        <v>45.490000000000009</v>
      </c>
      <c r="K403" s="571">
        <f t="shared" si="73"/>
        <v>49.7</v>
      </c>
      <c r="L403" s="571">
        <f t="shared" si="73"/>
        <v>83.5</v>
      </c>
      <c r="M403" s="572">
        <f t="shared" si="73"/>
        <v>220.2</v>
      </c>
    </row>
    <row r="404" spans="1:13" ht="18" customHeight="1" thickBot="1" x14ac:dyDescent="0.4">
      <c r="A404" s="192" t="s">
        <v>19</v>
      </c>
      <c r="B404" s="115">
        <f>B403/30</f>
        <v>28.006666666666671</v>
      </c>
      <c r="C404" s="115">
        <f t="shared" ref="C404:J404" si="74">C403/30</f>
        <v>17.466666666666665</v>
      </c>
      <c r="D404" s="115">
        <f t="shared" si="74"/>
        <v>22.736666666666668</v>
      </c>
      <c r="E404" s="115">
        <f t="shared" si="74"/>
        <v>14.866666666666667</v>
      </c>
      <c r="F404" s="249" t="s">
        <v>55</v>
      </c>
      <c r="G404" s="573">
        <f t="shared" si="74"/>
        <v>88.233333333333334</v>
      </c>
      <c r="H404" s="574">
        <f t="shared" si="74"/>
        <v>45.333333333333336</v>
      </c>
      <c r="I404" s="574">
        <f t="shared" si="74"/>
        <v>59.6</v>
      </c>
      <c r="J404" s="575">
        <f t="shared" si="74"/>
        <v>1.5163333333333335</v>
      </c>
      <c r="K404" s="576">
        <v>0</v>
      </c>
      <c r="L404" s="576">
        <v>0</v>
      </c>
      <c r="M404" s="577">
        <v>0</v>
      </c>
    </row>
    <row r="405" spans="1:13" ht="15" thickBot="1" x14ac:dyDescent="0.4">
      <c r="F405" s="4"/>
      <c r="G405" s="4"/>
      <c r="H405" s="4"/>
      <c r="I405" s="4"/>
      <c r="J405" s="4"/>
      <c r="K405" s="4"/>
      <c r="L405" s="4"/>
      <c r="M405" s="4"/>
    </row>
    <row r="406" spans="1:13" ht="16" thickBot="1" x14ac:dyDescent="0.4">
      <c r="A406" s="1" t="s">
        <v>0</v>
      </c>
      <c r="B406" s="2"/>
      <c r="C406" s="2"/>
      <c r="D406" s="2"/>
      <c r="E406" s="2"/>
      <c r="F406" s="3"/>
      <c r="G406" s="4"/>
      <c r="H406" s="4"/>
      <c r="I406" s="4"/>
      <c r="J406" s="4"/>
      <c r="K406" s="4"/>
      <c r="L406" s="4"/>
      <c r="M406" s="4"/>
    </row>
    <row r="407" spans="1:13" ht="15.5" x14ac:dyDescent="0.35">
      <c r="A407" s="5" t="s">
        <v>2</v>
      </c>
      <c r="B407" s="6"/>
      <c r="C407" s="6"/>
      <c r="D407" s="6"/>
      <c r="E407" s="6"/>
      <c r="F407" s="7"/>
      <c r="G407" s="4"/>
      <c r="H407" s="4"/>
      <c r="I407" s="1" t="s">
        <v>56</v>
      </c>
      <c r="J407" s="2"/>
      <c r="K407" s="2"/>
      <c r="L407" s="2"/>
      <c r="M407" s="8"/>
    </row>
    <row r="408" spans="1:13" ht="15.5" x14ac:dyDescent="0.35">
      <c r="A408" s="5" t="s">
        <v>4</v>
      </c>
      <c r="B408" s="6"/>
      <c r="C408" s="6"/>
      <c r="D408" s="6"/>
      <c r="E408" s="6"/>
      <c r="F408" s="7"/>
      <c r="G408" s="4"/>
      <c r="H408" s="4"/>
      <c r="I408" s="5" t="s">
        <v>5</v>
      </c>
      <c r="J408" s="6"/>
      <c r="K408" s="6"/>
      <c r="L408" s="9"/>
      <c r="M408" s="344"/>
    </row>
    <row r="409" spans="1:13" ht="16" thickBot="1" x14ac:dyDescent="0.4">
      <c r="A409" s="11" t="s">
        <v>6</v>
      </c>
      <c r="B409" s="12"/>
      <c r="C409" s="12"/>
      <c r="D409" s="12"/>
      <c r="E409" s="12"/>
      <c r="F409" s="13"/>
      <c r="G409" s="4"/>
      <c r="H409" s="4"/>
      <c r="I409" s="11" t="s">
        <v>7</v>
      </c>
      <c r="J409" s="12"/>
      <c r="K409" s="12"/>
      <c r="L409" s="345" t="s">
        <v>57</v>
      </c>
      <c r="M409" s="346"/>
    </row>
    <row r="410" spans="1:13" ht="26" thickBot="1" x14ac:dyDescent="0.65">
      <c r="A410" s="17" t="s">
        <v>39</v>
      </c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5.5" x14ac:dyDescent="0.35">
      <c r="A411" s="909" t="s">
        <v>10</v>
      </c>
      <c r="B411" s="912" t="s">
        <v>11</v>
      </c>
      <c r="C411" s="913"/>
      <c r="D411" s="913"/>
      <c r="E411" s="914"/>
      <c r="F411" s="20" t="s">
        <v>12</v>
      </c>
      <c r="G411" s="912" t="s">
        <v>13</v>
      </c>
      <c r="H411" s="913"/>
      <c r="I411" s="914"/>
      <c r="J411" s="20" t="s">
        <v>14</v>
      </c>
      <c r="K411" s="912" t="s">
        <v>15</v>
      </c>
      <c r="L411" s="914"/>
      <c r="M411" s="20" t="s">
        <v>16</v>
      </c>
    </row>
    <row r="412" spans="1:13" ht="16" thickBot="1" x14ac:dyDescent="0.4">
      <c r="A412" s="910"/>
      <c r="B412" s="21" t="s">
        <v>17</v>
      </c>
      <c r="C412" s="22" t="s">
        <v>18</v>
      </c>
      <c r="D412" s="22" t="s">
        <v>19</v>
      </c>
      <c r="E412" s="23" t="s">
        <v>18</v>
      </c>
      <c r="F412" s="27" t="s">
        <v>20</v>
      </c>
      <c r="G412" s="24" t="s">
        <v>21</v>
      </c>
      <c r="H412" s="25"/>
      <c r="I412" s="26"/>
      <c r="J412" s="27" t="s">
        <v>22</v>
      </c>
      <c r="K412" s="24" t="s">
        <v>23</v>
      </c>
      <c r="L412" s="26"/>
      <c r="M412" s="27" t="s">
        <v>24</v>
      </c>
    </row>
    <row r="413" spans="1:13" ht="16" thickBot="1" x14ac:dyDescent="0.4">
      <c r="A413" s="911"/>
      <c r="B413" s="578" t="s">
        <v>25</v>
      </c>
      <c r="C413" s="392" t="s">
        <v>25</v>
      </c>
      <c r="D413" s="392"/>
      <c r="E413" s="393" t="s">
        <v>26</v>
      </c>
      <c r="F413" s="579" t="s">
        <v>27</v>
      </c>
      <c r="G413" s="391" t="s">
        <v>28</v>
      </c>
      <c r="H413" s="392" t="s">
        <v>29</v>
      </c>
      <c r="I413" s="393" t="s">
        <v>30</v>
      </c>
      <c r="J413" s="579" t="s">
        <v>31</v>
      </c>
      <c r="K413" s="36" t="s">
        <v>32</v>
      </c>
      <c r="L413" s="30" t="s">
        <v>33</v>
      </c>
      <c r="M413" s="579" t="s">
        <v>34</v>
      </c>
    </row>
    <row r="414" spans="1:13" ht="15.5" x14ac:dyDescent="0.35">
      <c r="A414" s="221">
        <v>1</v>
      </c>
      <c r="B414" s="361">
        <v>25.6</v>
      </c>
      <c r="C414" s="363">
        <v>18</v>
      </c>
      <c r="D414" s="363">
        <f>(B414+C414)/2</f>
        <v>21.8</v>
      </c>
      <c r="E414" s="364">
        <v>15.6</v>
      </c>
      <c r="F414" s="204"/>
      <c r="G414" s="67">
        <v>93</v>
      </c>
      <c r="H414" s="229">
        <v>76</v>
      </c>
      <c r="I414" s="229">
        <v>86</v>
      </c>
      <c r="J414" s="283">
        <v>1.1599999999999999</v>
      </c>
      <c r="K414" s="43">
        <v>1.2</v>
      </c>
      <c r="L414" s="284">
        <v>2</v>
      </c>
      <c r="M414" s="417"/>
    </row>
    <row r="415" spans="1:13" ht="15.5" x14ac:dyDescent="0.35">
      <c r="A415" s="223">
        <v>2</v>
      </c>
      <c r="B415" s="51">
        <v>26.6</v>
      </c>
      <c r="C415" s="52">
        <v>16</v>
      </c>
      <c r="D415" s="60">
        <f t="shared" ref="D415:D423" si="75">(B415+C415)/2</f>
        <v>21.3</v>
      </c>
      <c r="E415" s="53">
        <v>13.4</v>
      </c>
      <c r="F415" s="209"/>
      <c r="G415" s="213">
        <v>87</v>
      </c>
      <c r="H415" s="57">
        <v>72</v>
      </c>
      <c r="I415" s="211">
        <v>84</v>
      </c>
      <c r="J415" s="225">
        <v>1.59</v>
      </c>
      <c r="K415" s="54">
        <v>1.8</v>
      </c>
      <c r="L415" s="59">
        <v>3</v>
      </c>
      <c r="M415" s="417"/>
    </row>
    <row r="416" spans="1:13" ht="15.5" x14ac:dyDescent="0.35">
      <c r="A416" s="223">
        <v>3</v>
      </c>
      <c r="B416" s="51">
        <v>28.4</v>
      </c>
      <c r="C416" s="60">
        <v>18.2</v>
      </c>
      <c r="D416" s="60">
        <f t="shared" si="75"/>
        <v>23.299999999999997</v>
      </c>
      <c r="E416" s="53">
        <v>15.4</v>
      </c>
      <c r="F416" s="209"/>
      <c r="G416" s="213">
        <v>91</v>
      </c>
      <c r="H416" s="57">
        <v>72</v>
      </c>
      <c r="I416" s="211">
        <v>87</v>
      </c>
      <c r="J416" s="225">
        <v>1.81</v>
      </c>
      <c r="K416" s="54">
        <v>1.6</v>
      </c>
      <c r="L416" s="59">
        <v>2.5</v>
      </c>
      <c r="M416" s="417"/>
    </row>
    <row r="417" spans="1:13" ht="15.5" x14ac:dyDescent="0.35">
      <c r="A417" s="223">
        <v>4</v>
      </c>
      <c r="B417" s="51">
        <v>26.2</v>
      </c>
      <c r="C417" s="60">
        <v>19.399999999999999</v>
      </c>
      <c r="D417" s="60">
        <f t="shared" si="75"/>
        <v>22.799999999999997</v>
      </c>
      <c r="E417" s="61">
        <v>16.600000000000001</v>
      </c>
      <c r="F417" s="209"/>
      <c r="G417" s="213">
        <v>90</v>
      </c>
      <c r="H417" s="57">
        <v>60</v>
      </c>
      <c r="I417" s="211">
        <v>86</v>
      </c>
      <c r="J417" s="225">
        <v>1.68</v>
      </c>
      <c r="K417" s="54">
        <v>2.5</v>
      </c>
      <c r="L417" s="59">
        <v>4</v>
      </c>
      <c r="M417" s="417"/>
    </row>
    <row r="418" spans="1:13" ht="15.5" x14ac:dyDescent="0.35">
      <c r="A418" s="223">
        <v>5</v>
      </c>
      <c r="B418" s="51">
        <v>27.6</v>
      </c>
      <c r="C418" s="52">
        <v>16.8</v>
      </c>
      <c r="D418" s="60">
        <f t="shared" si="75"/>
        <v>22.200000000000003</v>
      </c>
      <c r="E418" s="61">
        <v>13.6</v>
      </c>
      <c r="F418" s="209"/>
      <c r="G418" s="213">
        <v>87</v>
      </c>
      <c r="H418" s="57">
        <v>71</v>
      </c>
      <c r="I418" s="207">
        <v>85</v>
      </c>
      <c r="J418" s="225">
        <v>1.49</v>
      </c>
      <c r="K418" s="54">
        <v>1.4</v>
      </c>
      <c r="L418" s="59">
        <v>2.5</v>
      </c>
      <c r="M418" s="417"/>
    </row>
    <row r="419" spans="1:13" ht="15.5" x14ac:dyDescent="0.35">
      <c r="A419" s="223">
        <v>6</v>
      </c>
      <c r="B419" s="51">
        <v>25.4</v>
      </c>
      <c r="C419" s="52">
        <v>17.600000000000001</v>
      </c>
      <c r="D419" s="60">
        <f t="shared" si="75"/>
        <v>21.5</v>
      </c>
      <c r="E419" s="61">
        <v>13.4</v>
      </c>
      <c r="F419" s="209"/>
      <c r="G419" s="213">
        <v>86</v>
      </c>
      <c r="H419" s="57">
        <v>76</v>
      </c>
      <c r="I419" s="213">
        <v>84</v>
      </c>
      <c r="J419" s="225">
        <v>1.06</v>
      </c>
      <c r="K419" s="54">
        <v>1.1000000000000001</v>
      </c>
      <c r="L419" s="59">
        <v>2</v>
      </c>
      <c r="M419" s="417"/>
    </row>
    <row r="420" spans="1:13" ht="15.5" x14ac:dyDescent="0.35">
      <c r="A420" s="223">
        <v>7</v>
      </c>
      <c r="B420" s="51">
        <v>24.8</v>
      </c>
      <c r="C420" s="52">
        <v>16.399999999999999</v>
      </c>
      <c r="D420" s="60">
        <f t="shared" si="75"/>
        <v>20.6</v>
      </c>
      <c r="E420" s="61">
        <v>13</v>
      </c>
      <c r="F420" s="209"/>
      <c r="G420" s="213">
        <v>90</v>
      </c>
      <c r="H420" s="57">
        <v>70</v>
      </c>
      <c r="I420" s="213">
        <v>88</v>
      </c>
      <c r="J420" s="225">
        <v>1.84</v>
      </c>
      <c r="K420" s="54">
        <v>1.9</v>
      </c>
      <c r="L420" s="59">
        <v>3</v>
      </c>
      <c r="M420" s="417"/>
    </row>
    <row r="421" spans="1:13" ht="15.5" x14ac:dyDescent="0.35">
      <c r="A421" s="223">
        <v>8</v>
      </c>
      <c r="B421" s="51">
        <v>24.4</v>
      </c>
      <c r="C421" s="52">
        <v>16</v>
      </c>
      <c r="D421" s="60">
        <f t="shared" si="75"/>
        <v>20.2</v>
      </c>
      <c r="E421" s="61">
        <v>12.8</v>
      </c>
      <c r="F421" s="209"/>
      <c r="G421" s="213">
        <v>87</v>
      </c>
      <c r="H421" s="57">
        <v>77</v>
      </c>
      <c r="I421" s="213">
        <v>85</v>
      </c>
      <c r="J421" s="225">
        <v>1.31</v>
      </c>
      <c r="K421" s="54">
        <v>1.4</v>
      </c>
      <c r="L421" s="59">
        <v>2.5</v>
      </c>
      <c r="M421" s="417"/>
    </row>
    <row r="422" spans="1:13" ht="15.5" x14ac:dyDescent="0.35">
      <c r="A422" s="223">
        <v>9</v>
      </c>
      <c r="B422" s="51">
        <v>23.8</v>
      </c>
      <c r="C422" s="52">
        <v>14.6</v>
      </c>
      <c r="D422" s="60">
        <f t="shared" si="75"/>
        <v>19.2</v>
      </c>
      <c r="E422" s="61">
        <v>12.2</v>
      </c>
      <c r="F422" s="209"/>
      <c r="G422" s="213">
        <v>90</v>
      </c>
      <c r="H422" s="57">
        <v>66</v>
      </c>
      <c r="I422" s="213">
        <v>86</v>
      </c>
      <c r="J422" s="225">
        <v>1.43</v>
      </c>
      <c r="K422" s="54">
        <v>1.6</v>
      </c>
      <c r="L422" s="59">
        <v>2.5</v>
      </c>
      <c r="M422" s="417"/>
    </row>
    <row r="423" spans="1:13" ht="16" thickBot="1" x14ac:dyDescent="0.4">
      <c r="A423" s="311">
        <v>10</v>
      </c>
      <c r="B423" s="51">
        <v>24.2</v>
      </c>
      <c r="C423" s="60">
        <v>15.8</v>
      </c>
      <c r="D423" s="60">
        <f t="shared" si="75"/>
        <v>20</v>
      </c>
      <c r="E423" s="53">
        <v>13.2</v>
      </c>
      <c r="F423" s="214"/>
      <c r="G423" s="213">
        <v>88</v>
      </c>
      <c r="H423" s="57">
        <v>70</v>
      </c>
      <c r="I423" s="207">
        <v>84</v>
      </c>
      <c r="J423" s="225">
        <v>1.37</v>
      </c>
      <c r="K423" s="54">
        <v>1.5</v>
      </c>
      <c r="L423" s="59">
        <v>2.5</v>
      </c>
      <c r="M423" s="580"/>
    </row>
    <row r="424" spans="1:13" ht="16" thickBot="1" x14ac:dyDescent="0.4">
      <c r="A424" s="329" t="s">
        <v>35</v>
      </c>
      <c r="B424" s="407">
        <f>SUM(B414:B423)</f>
        <v>257.00000000000006</v>
      </c>
      <c r="C424" s="407">
        <f>SUM(C414:C423)</f>
        <v>168.8</v>
      </c>
      <c r="D424" s="407">
        <f>SUM(D414:D423)</f>
        <v>212.89999999999998</v>
      </c>
      <c r="E424" s="407">
        <f>SUM(E414:E423)</f>
        <v>139.19999999999999</v>
      </c>
      <c r="F424" s="410">
        <v>0</v>
      </c>
      <c r="G424" s="415">
        <f t="shared" ref="G424:L424" si="76">SUM(G414:G423)</f>
        <v>889</v>
      </c>
      <c r="H424" s="557">
        <f t="shared" si="76"/>
        <v>710</v>
      </c>
      <c r="I424" s="557">
        <f t="shared" si="76"/>
        <v>855</v>
      </c>
      <c r="J424" s="581">
        <f t="shared" si="76"/>
        <v>14.740000000000002</v>
      </c>
      <c r="K424" s="409">
        <f t="shared" si="76"/>
        <v>16</v>
      </c>
      <c r="L424" s="407">
        <f t="shared" si="76"/>
        <v>26.5</v>
      </c>
      <c r="M424" s="410">
        <v>94</v>
      </c>
    </row>
    <row r="425" spans="1:13" ht="15.5" x14ac:dyDescent="0.35">
      <c r="A425" s="316">
        <v>11</v>
      </c>
      <c r="B425" s="51">
        <v>24.4</v>
      </c>
      <c r="C425" s="60">
        <v>16.2</v>
      </c>
      <c r="D425" s="60">
        <f t="shared" ref="D425:D434" si="77">(B425+C425)/2</f>
        <v>20.299999999999997</v>
      </c>
      <c r="E425" s="53">
        <v>13.4</v>
      </c>
      <c r="F425" s="306"/>
      <c r="G425" s="213">
        <v>91</v>
      </c>
      <c r="H425" s="57">
        <v>72</v>
      </c>
      <c r="I425" s="211">
        <v>85</v>
      </c>
      <c r="J425" s="225">
        <v>1.1200000000000001</v>
      </c>
      <c r="K425" s="54">
        <v>1.2</v>
      </c>
      <c r="L425" s="307">
        <v>2</v>
      </c>
      <c r="M425" s="400"/>
    </row>
    <row r="426" spans="1:13" ht="15.5" x14ac:dyDescent="0.35">
      <c r="A426" s="223">
        <v>12</v>
      </c>
      <c r="B426" s="51">
        <v>25</v>
      </c>
      <c r="C426" s="52">
        <v>16</v>
      </c>
      <c r="D426" s="60">
        <f t="shared" si="77"/>
        <v>20.5</v>
      </c>
      <c r="E426" s="61">
        <v>13</v>
      </c>
      <c r="F426" s="209"/>
      <c r="G426" s="213">
        <v>87</v>
      </c>
      <c r="H426" s="57">
        <v>74</v>
      </c>
      <c r="I426" s="211">
        <v>84</v>
      </c>
      <c r="J426" s="225">
        <v>1.83</v>
      </c>
      <c r="K426" s="43">
        <v>1.9</v>
      </c>
      <c r="L426" s="307">
        <v>3</v>
      </c>
      <c r="M426" s="417"/>
    </row>
    <row r="427" spans="1:13" ht="15.5" x14ac:dyDescent="0.35">
      <c r="A427" s="223">
        <v>13</v>
      </c>
      <c r="B427" s="51">
        <v>25.4</v>
      </c>
      <c r="C427" s="52">
        <v>16.600000000000001</v>
      </c>
      <c r="D427" s="60">
        <f t="shared" si="77"/>
        <v>21</v>
      </c>
      <c r="E427" s="61">
        <v>13.4</v>
      </c>
      <c r="F427" s="209"/>
      <c r="G427" s="213">
        <v>87</v>
      </c>
      <c r="H427" s="57">
        <v>77</v>
      </c>
      <c r="I427" s="211">
        <v>86</v>
      </c>
      <c r="J427" s="225">
        <v>1.1200000000000001</v>
      </c>
      <c r="K427" s="43">
        <v>1.1000000000000001</v>
      </c>
      <c r="L427" s="307">
        <v>2</v>
      </c>
      <c r="M427" s="417"/>
    </row>
    <row r="428" spans="1:13" ht="15.5" x14ac:dyDescent="0.35">
      <c r="A428" s="223">
        <v>14</v>
      </c>
      <c r="B428" s="51">
        <v>23.8</v>
      </c>
      <c r="C428" s="52">
        <v>17.2</v>
      </c>
      <c r="D428" s="60">
        <f t="shared" si="77"/>
        <v>20.5</v>
      </c>
      <c r="E428" s="61">
        <v>14.2</v>
      </c>
      <c r="F428" s="209"/>
      <c r="G428" s="213">
        <v>86</v>
      </c>
      <c r="H428" s="57">
        <v>73</v>
      </c>
      <c r="I428" s="211">
        <v>84</v>
      </c>
      <c r="J428" s="225">
        <v>2.16</v>
      </c>
      <c r="K428" s="43">
        <v>2.4</v>
      </c>
      <c r="L428" s="307">
        <v>4</v>
      </c>
      <c r="M428" s="417"/>
    </row>
    <row r="429" spans="1:13" ht="15.5" x14ac:dyDescent="0.35">
      <c r="A429" s="223">
        <v>15</v>
      </c>
      <c r="B429" s="51">
        <v>23.2</v>
      </c>
      <c r="C429" s="52">
        <v>16.600000000000001</v>
      </c>
      <c r="D429" s="60">
        <f t="shared" si="77"/>
        <v>19.899999999999999</v>
      </c>
      <c r="E429" s="61">
        <v>13.6</v>
      </c>
      <c r="F429" s="209"/>
      <c r="G429" s="213">
        <v>87</v>
      </c>
      <c r="H429" s="57">
        <v>76</v>
      </c>
      <c r="I429" s="211">
        <v>85</v>
      </c>
      <c r="J429" s="225">
        <v>1.1200000000000001</v>
      </c>
      <c r="K429" s="43">
        <v>1.3</v>
      </c>
      <c r="L429" s="307">
        <v>2</v>
      </c>
      <c r="M429" s="417"/>
    </row>
    <row r="430" spans="1:13" ht="15.5" x14ac:dyDescent="0.35">
      <c r="A430" s="223">
        <v>16</v>
      </c>
      <c r="B430" s="51">
        <v>24.4</v>
      </c>
      <c r="C430" s="52">
        <v>18.2</v>
      </c>
      <c r="D430" s="60">
        <f t="shared" si="77"/>
        <v>21.299999999999997</v>
      </c>
      <c r="E430" s="61">
        <v>15.6</v>
      </c>
      <c r="F430" s="209"/>
      <c r="G430" s="213">
        <v>88</v>
      </c>
      <c r="H430" s="57">
        <v>70</v>
      </c>
      <c r="I430" s="207">
        <v>84</v>
      </c>
      <c r="J430" s="225">
        <v>2.39</v>
      </c>
      <c r="K430" s="43">
        <v>2.5</v>
      </c>
      <c r="L430" s="307">
        <v>4</v>
      </c>
      <c r="M430" s="417"/>
    </row>
    <row r="431" spans="1:13" ht="15.5" x14ac:dyDescent="0.35">
      <c r="A431" s="223">
        <v>17</v>
      </c>
      <c r="B431" s="51">
        <v>26.6</v>
      </c>
      <c r="C431" s="60">
        <v>15.4</v>
      </c>
      <c r="D431" s="60">
        <f t="shared" si="77"/>
        <v>21</v>
      </c>
      <c r="E431" s="61">
        <v>13.4</v>
      </c>
      <c r="F431" s="209"/>
      <c r="G431" s="213">
        <v>86</v>
      </c>
      <c r="H431" s="57">
        <v>76</v>
      </c>
      <c r="I431" s="211">
        <v>84</v>
      </c>
      <c r="J431" s="225">
        <v>1.84</v>
      </c>
      <c r="K431" s="43">
        <v>1.2</v>
      </c>
      <c r="L431" s="307">
        <v>2</v>
      </c>
      <c r="M431" s="417"/>
    </row>
    <row r="432" spans="1:13" ht="15.5" x14ac:dyDescent="0.35">
      <c r="A432" s="223">
        <v>18</v>
      </c>
      <c r="B432" s="51">
        <v>20.6</v>
      </c>
      <c r="C432" s="60">
        <v>13.2</v>
      </c>
      <c r="D432" s="60">
        <f t="shared" si="77"/>
        <v>16.899999999999999</v>
      </c>
      <c r="E432" s="53">
        <v>11.6</v>
      </c>
      <c r="F432" s="209"/>
      <c r="G432" s="213">
        <v>88</v>
      </c>
      <c r="H432" s="57">
        <v>66</v>
      </c>
      <c r="I432" s="211">
        <v>85</v>
      </c>
      <c r="J432" s="225">
        <v>2.21</v>
      </c>
      <c r="K432" s="43">
        <v>2.8</v>
      </c>
      <c r="L432" s="307">
        <v>4.5</v>
      </c>
      <c r="M432" s="417"/>
    </row>
    <row r="433" spans="1:13" ht="15.5" x14ac:dyDescent="0.35">
      <c r="A433" s="223">
        <v>19</v>
      </c>
      <c r="B433" s="51">
        <v>23.2</v>
      </c>
      <c r="C433" s="60">
        <v>13</v>
      </c>
      <c r="D433" s="60">
        <f t="shared" si="77"/>
        <v>18.100000000000001</v>
      </c>
      <c r="E433" s="61">
        <v>11</v>
      </c>
      <c r="F433" s="209"/>
      <c r="G433" s="213">
        <v>90</v>
      </c>
      <c r="H433" s="57">
        <v>62</v>
      </c>
      <c r="I433" s="211">
        <v>84</v>
      </c>
      <c r="J433" s="225">
        <v>0.97</v>
      </c>
      <c r="K433" s="43">
        <v>1.1000000000000001</v>
      </c>
      <c r="L433" s="307">
        <v>2</v>
      </c>
      <c r="M433" s="417"/>
    </row>
    <row r="434" spans="1:13" ht="16" thickBot="1" x14ac:dyDescent="0.4">
      <c r="A434" s="311">
        <v>20</v>
      </c>
      <c r="B434" s="51">
        <v>25</v>
      </c>
      <c r="C434" s="60">
        <v>11</v>
      </c>
      <c r="D434" s="60">
        <f t="shared" si="77"/>
        <v>18</v>
      </c>
      <c r="E434" s="61">
        <v>9.4</v>
      </c>
      <c r="F434" s="214"/>
      <c r="G434" s="213">
        <v>87</v>
      </c>
      <c r="H434" s="57">
        <v>62</v>
      </c>
      <c r="I434" s="211">
        <v>85</v>
      </c>
      <c r="J434" s="225">
        <v>1.02</v>
      </c>
      <c r="K434" s="43">
        <v>2</v>
      </c>
      <c r="L434" s="291">
        <v>3.5</v>
      </c>
      <c r="M434" s="580"/>
    </row>
    <row r="435" spans="1:13" ht="16" thickBot="1" x14ac:dyDescent="0.4">
      <c r="A435" s="329" t="s">
        <v>35</v>
      </c>
      <c r="B435" s="407">
        <f t="shared" ref="B435:L435" si="78">SUM(B425:B434)</f>
        <v>241.59999999999997</v>
      </c>
      <c r="C435" s="407">
        <f t="shared" si="78"/>
        <v>153.4</v>
      </c>
      <c r="D435" s="407">
        <f t="shared" si="78"/>
        <v>197.5</v>
      </c>
      <c r="E435" s="407">
        <f t="shared" si="78"/>
        <v>128.6</v>
      </c>
      <c r="F435" s="410">
        <f t="shared" si="78"/>
        <v>0</v>
      </c>
      <c r="G435" s="415">
        <f t="shared" si="78"/>
        <v>877</v>
      </c>
      <c r="H435" s="582">
        <f t="shared" si="78"/>
        <v>708</v>
      </c>
      <c r="I435" s="583">
        <f t="shared" si="78"/>
        <v>846</v>
      </c>
      <c r="J435" s="581">
        <f t="shared" si="78"/>
        <v>15.78</v>
      </c>
      <c r="K435" s="409">
        <f t="shared" si="78"/>
        <v>17.5</v>
      </c>
      <c r="L435" s="407">
        <f t="shared" si="78"/>
        <v>29</v>
      </c>
      <c r="M435" s="410">
        <v>40.799999999999997</v>
      </c>
    </row>
    <row r="436" spans="1:13" ht="15.5" x14ac:dyDescent="0.35">
      <c r="A436" s="316">
        <v>21</v>
      </c>
      <c r="B436" s="51">
        <v>25.8</v>
      </c>
      <c r="C436" s="60">
        <v>12.4</v>
      </c>
      <c r="D436" s="60">
        <f t="shared" ref="D436:D446" si="79">(B436+C436)/2</f>
        <v>19.100000000000001</v>
      </c>
      <c r="E436" s="61">
        <v>10</v>
      </c>
      <c r="F436" s="291"/>
      <c r="G436" s="213">
        <v>90</v>
      </c>
      <c r="H436" s="57">
        <v>60</v>
      </c>
      <c r="I436" s="211">
        <v>86</v>
      </c>
      <c r="J436" s="225">
        <v>1.32</v>
      </c>
      <c r="K436" s="43">
        <v>1.3</v>
      </c>
      <c r="L436" s="291">
        <v>2</v>
      </c>
      <c r="M436" s="400"/>
    </row>
    <row r="437" spans="1:13" ht="15.5" x14ac:dyDescent="0.35">
      <c r="A437" s="223">
        <v>22</v>
      </c>
      <c r="B437" s="51">
        <v>25</v>
      </c>
      <c r="C437" s="60">
        <v>11.6</v>
      </c>
      <c r="D437" s="60">
        <f t="shared" si="79"/>
        <v>18.3</v>
      </c>
      <c r="E437" s="53">
        <v>9.8000000000000007</v>
      </c>
      <c r="F437" s="291"/>
      <c r="G437" s="373">
        <v>94</v>
      </c>
      <c r="H437" s="57">
        <v>70</v>
      </c>
      <c r="I437" s="213">
        <v>90</v>
      </c>
      <c r="J437" s="225">
        <v>1.64</v>
      </c>
      <c r="K437" s="43">
        <v>1.7</v>
      </c>
      <c r="L437" s="291">
        <v>3</v>
      </c>
      <c r="M437" s="417"/>
    </row>
    <row r="438" spans="1:13" ht="15.5" x14ac:dyDescent="0.35">
      <c r="A438" s="223">
        <v>23</v>
      </c>
      <c r="B438" s="51">
        <v>23</v>
      </c>
      <c r="C438" s="60">
        <v>16.399999999999999</v>
      </c>
      <c r="D438" s="60">
        <f t="shared" si="79"/>
        <v>19.7</v>
      </c>
      <c r="E438" s="61">
        <v>13.8</v>
      </c>
      <c r="F438" s="291"/>
      <c r="G438" s="373">
        <v>87</v>
      </c>
      <c r="H438" s="57">
        <v>76</v>
      </c>
      <c r="I438" s="213">
        <v>85</v>
      </c>
      <c r="J438" s="225">
        <v>1.43</v>
      </c>
      <c r="K438" s="43">
        <v>1.6</v>
      </c>
      <c r="L438" s="291">
        <v>2.5</v>
      </c>
      <c r="M438" s="417"/>
    </row>
    <row r="439" spans="1:13" ht="15.5" x14ac:dyDescent="0.35">
      <c r="A439" s="223">
        <v>24</v>
      </c>
      <c r="B439" s="51">
        <v>23.8</v>
      </c>
      <c r="C439" s="60">
        <v>16.8</v>
      </c>
      <c r="D439" s="60">
        <f t="shared" si="79"/>
        <v>20.3</v>
      </c>
      <c r="E439" s="61">
        <v>14</v>
      </c>
      <c r="F439" s="451"/>
      <c r="G439" s="373">
        <v>89</v>
      </c>
      <c r="H439" s="57">
        <v>71</v>
      </c>
      <c r="I439" s="213">
        <v>86</v>
      </c>
      <c r="J439" s="225">
        <v>1.03</v>
      </c>
      <c r="K439" s="43">
        <v>1.1000000000000001</v>
      </c>
      <c r="L439" s="451">
        <v>2</v>
      </c>
      <c r="M439" s="417"/>
    </row>
    <row r="440" spans="1:13" ht="15.5" x14ac:dyDescent="0.35">
      <c r="A440" s="223">
        <v>25</v>
      </c>
      <c r="B440" s="51">
        <v>25.8</v>
      </c>
      <c r="C440" s="60">
        <v>15</v>
      </c>
      <c r="D440" s="60">
        <f t="shared" si="79"/>
        <v>20.399999999999999</v>
      </c>
      <c r="E440" s="53">
        <v>13.2</v>
      </c>
      <c r="F440" s="451"/>
      <c r="G440" s="373">
        <v>91</v>
      </c>
      <c r="H440" s="57">
        <v>62</v>
      </c>
      <c r="I440" s="213">
        <v>88</v>
      </c>
      <c r="J440" s="225">
        <v>1.36</v>
      </c>
      <c r="K440" s="43">
        <v>1.4</v>
      </c>
      <c r="L440" s="451">
        <v>2.5</v>
      </c>
      <c r="M440" s="417"/>
    </row>
    <row r="441" spans="1:13" ht="15.5" x14ac:dyDescent="0.35">
      <c r="A441" s="223">
        <v>26</v>
      </c>
      <c r="B441" s="51">
        <v>21.2</v>
      </c>
      <c r="C441" s="60">
        <v>12.6</v>
      </c>
      <c r="D441" s="60">
        <f t="shared" si="79"/>
        <v>16.899999999999999</v>
      </c>
      <c r="E441" s="53">
        <v>9.8000000000000007</v>
      </c>
      <c r="F441" s="307">
        <v>3.5</v>
      </c>
      <c r="G441" s="211">
        <v>90</v>
      </c>
      <c r="H441" s="57">
        <v>66</v>
      </c>
      <c r="I441" s="211">
        <v>85</v>
      </c>
      <c r="J441" s="225">
        <v>1.25</v>
      </c>
      <c r="K441" s="43">
        <v>1.5</v>
      </c>
      <c r="L441" s="307">
        <v>2.5</v>
      </c>
      <c r="M441" s="417"/>
    </row>
    <row r="442" spans="1:13" ht="15.5" x14ac:dyDescent="0.35">
      <c r="A442" s="223">
        <v>27</v>
      </c>
      <c r="B442" s="51">
        <v>20.6</v>
      </c>
      <c r="C442" s="60">
        <v>9</v>
      </c>
      <c r="D442" s="60">
        <f t="shared" si="79"/>
        <v>14.8</v>
      </c>
      <c r="E442" s="53">
        <v>6.6</v>
      </c>
      <c r="F442" s="307">
        <v>7.7</v>
      </c>
      <c r="G442" s="211">
        <v>90</v>
      </c>
      <c r="H442" s="57">
        <v>64</v>
      </c>
      <c r="I442" s="211">
        <v>87</v>
      </c>
      <c r="J442" s="225">
        <v>1.8</v>
      </c>
      <c r="K442" s="43">
        <v>2.2999999999999998</v>
      </c>
      <c r="L442" s="307">
        <v>4</v>
      </c>
      <c r="M442" s="417"/>
    </row>
    <row r="443" spans="1:13" ht="15.5" x14ac:dyDescent="0.35">
      <c r="A443" s="223">
        <v>28</v>
      </c>
      <c r="B443" s="51">
        <v>17.2</v>
      </c>
      <c r="C443" s="60">
        <v>10.199999999999999</v>
      </c>
      <c r="D443" s="60">
        <f t="shared" si="79"/>
        <v>13.7</v>
      </c>
      <c r="E443" s="53">
        <v>8.1999999999999993</v>
      </c>
      <c r="F443" s="307">
        <v>4.2</v>
      </c>
      <c r="G443" s="211">
        <v>91</v>
      </c>
      <c r="H443" s="57">
        <v>74</v>
      </c>
      <c r="I443" s="211">
        <v>88</v>
      </c>
      <c r="J443" s="225">
        <v>1.1000000000000001</v>
      </c>
      <c r="K443" s="43">
        <v>1.7</v>
      </c>
      <c r="L443" s="307">
        <v>3</v>
      </c>
      <c r="M443" s="417"/>
    </row>
    <row r="444" spans="1:13" ht="15.5" x14ac:dyDescent="0.35">
      <c r="A444" s="223">
        <v>29</v>
      </c>
      <c r="B444" s="51">
        <v>18.8</v>
      </c>
      <c r="C444" s="60">
        <v>10</v>
      </c>
      <c r="D444" s="60">
        <f t="shared" si="79"/>
        <v>14.4</v>
      </c>
      <c r="E444" s="53">
        <v>8</v>
      </c>
      <c r="F444" s="307"/>
      <c r="G444" s="211">
        <v>89</v>
      </c>
      <c r="H444" s="57">
        <v>70</v>
      </c>
      <c r="I444" s="211">
        <v>86</v>
      </c>
      <c r="J444" s="225">
        <v>1.69</v>
      </c>
      <c r="K444" s="43">
        <v>2.2999999999999998</v>
      </c>
      <c r="L444" s="307">
        <v>4</v>
      </c>
      <c r="M444" s="417"/>
    </row>
    <row r="445" spans="1:13" ht="15.5" x14ac:dyDescent="0.35">
      <c r="A445" s="223">
        <v>30</v>
      </c>
      <c r="B445" s="51">
        <v>24</v>
      </c>
      <c r="C445" s="60">
        <v>13.2</v>
      </c>
      <c r="D445" s="60">
        <f t="shared" si="79"/>
        <v>18.600000000000001</v>
      </c>
      <c r="E445" s="53">
        <v>10.4</v>
      </c>
      <c r="F445" s="307"/>
      <c r="G445" s="211">
        <v>88</v>
      </c>
      <c r="H445" s="57">
        <v>68</v>
      </c>
      <c r="I445" s="211">
        <v>85</v>
      </c>
      <c r="J445" s="225">
        <v>1.17</v>
      </c>
      <c r="K445" s="43">
        <v>2.5</v>
      </c>
      <c r="L445" s="307">
        <v>4</v>
      </c>
      <c r="M445" s="417"/>
    </row>
    <row r="446" spans="1:13" ht="16" thickBot="1" x14ac:dyDescent="0.4">
      <c r="A446" s="311">
        <v>31</v>
      </c>
      <c r="B446" s="378">
        <v>20.6</v>
      </c>
      <c r="C446" s="375">
        <v>12.8</v>
      </c>
      <c r="D446" s="375">
        <f t="shared" si="79"/>
        <v>16.700000000000003</v>
      </c>
      <c r="E446" s="377">
        <v>10.199999999999999</v>
      </c>
      <c r="F446" s="232"/>
      <c r="G446" s="229">
        <v>88</v>
      </c>
      <c r="H446" s="100">
        <v>64</v>
      </c>
      <c r="I446" s="229">
        <v>85</v>
      </c>
      <c r="J446" s="234">
        <v>1.41</v>
      </c>
      <c r="K446" s="584">
        <v>1.8</v>
      </c>
      <c r="L446" s="235">
        <v>3</v>
      </c>
      <c r="M446" s="417"/>
    </row>
    <row r="447" spans="1:13" ht="16" thickBot="1" x14ac:dyDescent="0.4">
      <c r="A447" s="329" t="s">
        <v>35</v>
      </c>
      <c r="B447" s="407">
        <f>SUM(B436:B446)</f>
        <v>245.79999999999998</v>
      </c>
      <c r="C447" s="407">
        <f>SUM(C436:C446)</f>
        <v>140</v>
      </c>
      <c r="D447" s="407">
        <f>SUM(D436:D446)</f>
        <v>192.90000000000003</v>
      </c>
      <c r="E447" s="410">
        <f>SUM(E436:E446)</f>
        <v>114</v>
      </c>
      <c r="F447" s="410">
        <f>SUM(F436:F446)</f>
        <v>15.399999999999999</v>
      </c>
      <c r="G447" s="411">
        <f t="shared" ref="G447:M447" si="80">SUM(G436:G446)</f>
        <v>987</v>
      </c>
      <c r="H447" s="582">
        <f t="shared" si="80"/>
        <v>745</v>
      </c>
      <c r="I447" s="557">
        <f t="shared" si="80"/>
        <v>951</v>
      </c>
      <c r="J447" s="410">
        <f t="shared" si="80"/>
        <v>15.200000000000001</v>
      </c>
      <c r="K447" s="409">
        <f t="shared" si="80"/>
        <v>19.2</v>
      </c>
      <c r="L447" s="407">
        <f t="shared" si="80"/>
        <v>32.5</v>
      </c>
      <c r="M447" s="410">
        <f t="shared" si="80"/>
        <v>0</v>
      </c>
    </row>
    <row r="448" spans="1:13" ht="16" thickBot="1" x14ac:dyDescent="0.4">
      <c r="A448" s="335" t="s">
        <v>36</v>
      </c>
      <c r="B448" s="571">
        <f>B447+B435+B424</f>
        <v>744.40000000000009</v>
      </c>
      <c r="C448" s="571">
        <f t="shared" ref="C448:M448" si="81">C447+C435+C424</f>
        <v>462.2</v>
      </c>
      <c r="D448" s="571">
        <f t="shared" si="81"/>
        <v>603.29999999999995</v>
      </c>
      <c r="E448" s="571">
        <f t="shared" si="81"/>
        <v>381.79999999999995</v>
      </c>
      <c r="F448" s="571">
        <f t="shared" si="81"/>
        <v>15.399999999999999</v>
      </c>
      <c r="G448" s="571">
        <f t="shared" si="81"/>
        <v>2753</v>
      </c>
      <c r="H448" s="571">
        <f t="shared" si="81"/>
        <v>2163</v>
      </c>
      <c r="I448" s="585">
        <f t="shared" si="81"/>
        <v>2652</v>
      </c>
      <c r="J448" s="572">
        <f t="shared" si="81"/>
        <v>45.72</v>
      </c>
      <c r="K448" s="586">
        <f t="shared" si="81"/>
        <v>52.7</v>
      </c>
      <c r="L448" s="571">
        <f t="shared" si="81"/>
        <v>88</v>
      </c>
      <c r="M448" s="572">
        <f t="shared" si="81"/>
        <v>134.80000000000001</v>
      </c>
    </row>
    <row r="449" spans="1:13" ht="16" thickBot="1" x14ac:dyDescent="0.4">
      <c r="A449" s="337" t="s">
        <v>19</v>
      </c>
      <c r="B449" s="587">
        <f>B448/31</f>
        <v>24.012903225806454</v>
      </c>
      <c r="C449" s="587">
        <f t="shared" ref="C449:E449" si="82">C448/31</f>
        <v>14.909677419354839</v>
      </c>
      <c r="D449" s="587">
        <f t="shared" si="82"/>
        <v>19.461290322580645</v>
      </c>
      <c r="E449" s="587">
        <f t="shared" si="82"/>
        <v>12.316129032258063</v>
      </c>
      <c r="F449" s="257" t="s">
        <v>37</v>
      </c>
      <c r="G449" s="588">
        <f>G448/31</f>
        <v>88.806451612903231</v>
      </c>
      <c r="H449" s="589">
        <f t="shared" ref="H449:J449" si="83">H448/31</f>
        <v>69.774193548387103</v>
      </c>
      <c r="I449" s="590">
        <f t="shared" si="83"/>
        <v>85.548387096774192</v>
      </c>
      <c r="J449" s="591">
        <f t="shared" si="83"/>
        <v>1.4748387096774194</v>
      </c>
      <c r="K449" s="592"/>
      <c r="L449" s="576"/>
      <c r="M449" s="577"/>
    </row>
    <row r="450" spans="1:13" ht="15" thickBot="1" x14ac:dyDescent="0.4">
      <c r="F450" s="4"/>
      <c r="G450" s="4"/>
      <c r="H450" s="4"/>
      <c r="I450" s="4"/>
      <c r="J450" s="4"/>
      <c r="K450" s="4"/>
      <c r="L450" s="4"/>
      <c r="M450" s="4"/>
    </row>
    <row r="451" spans="1:13" ht="16" thickBot="1" x14ac:dyDescent="0.4">
      <c r="A451" s="1" t="s">
        <v>0</v>
      </c>
      <c r="B451" s="2"/>
      <c r="C451" s="2"/>
      <c r="D451" s="2"/>
      <c r="E451" s="2"/>
      <c r="F451" s="3"/>
      <c r="G451" s="4"/>
      <c r="H451" s="4"/>
      <c r="I451" s="4"/>
      <c r="J451" s="4"/>
      <c r="K451" s="4"/>
      <c r="L451" s="4"/>
      <c r="M451" s="4"/>
    </row>
    <row r="452" spans="1:13" ht="15.5" x14ac:dyDescent="0.35">
      <c r="A452" s="5" t="s">
        <v>2</v>
      </c>
      <c r="B452" s="6"/>
      <c r="C452" s="6"/>
      <c r="D452" s="6"/>
      <c r="E452" s="6"/>
      <c r="F452" s="7"/>
      <c r="G452" s="4"/>
      <c r="H452" s="4"/>
      <c r="I452" s="1" t="s">
        <v>56</v>
      </c>
      <c r="J452" s="2"/>
      <c r="K452" s="2"/>
      <c r="L452" s="2"/>
      <c r="M452" s="8"/>
    </row>
    <row r="453" spans="1:13" ht="15.5" x14ac:dyDescent="0.35">
      <c r="A453" s="5" t="s">
        <v>4</v>
      </c>
      <c r="B453" s="6"/>
      <c r="C453" s="6"/>
      <c r="D453" s="6"/>
      <c r="E453" s="6"/>
      <c r="F453" s="7"/>
      <c r="G453" s="4"/>
      <c r="H453" s="4"/>
      <c r="I453" s="5" t="s">
        <v>5</v>
      </c>
      <c r="J453" s="6"/>
      <c r="K453" s="6"/>
      <c r="L453" s="9"/>
      <c r="M453" s="344"/>
    </row>
    <row r="454" spans="1:13" ht="16" thickBot="1" x14ac:dyDescent="0.4">
      <c r="A454" s="11" t="s">
        <v>6</v>
      </c>
      <c r="B454" s="12"/>
      <c r="C454" s="12"/>
      <c r="D454" s="12"/>
      <c r="E454" s="12"/>
      <c r="F454" s="13"/>
      <c r="G454" s="4"/>
      <c r="H454" s="4"/>
      <c r="I454" s="11" t="s">
        <v>7</v>
      </c>
      <c r="J454" s="12"/>
      <c r="K454" s="12"/>
      <c r="L454" s="345" t="s">
        <v>58</v>
      </c>
      <c r="M454" s="346"/>
    </row>
    <row r="455" spans="1:13" ht="26" thickBot="1" x14ac:dyDescent="0.65">
      <c r="A455" s="17" t="s">
        <v>39</v>
      </c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x14ac:dyDescent="0.35">
      <c r="A456" s="915" t="s">
        <v>10</v>
      </c>
      <c r="B456" s="918" t="s">
        <v>11</v>
      </c>
      <c r="C456" s="919"/>
      <c r="D456" s="919"/>
      <c r="E456" s="920"/>
      <c r="F456" s="132" t="s">
        <v>12</v>
      </c>
      <c r="G456" s="918" t="s">
        <v>13</v>
      </c>
      <c r="H456" s="919"/>
      <c r="I456" s="920"/>
      <c r="J456" s="132" t="s">
        <v>14</v>
      </c>
      <c r="K456" s="918" t="s">
        <v>15</v>
      </c>
      <c r="L456" s="920"/>
      <c r="M456" s="132" t="s">
        <v>16</v>
      </c>
    </row>
    <row r="457" spans="1:13" ht="15" thickBot="1" x14ac:dyDescent="0.4">
      <c r="A457" s="916"/>
      <c r="B457" s="134" t="s">
        <v>17</v>
      </c>
      <c r="C457" s="135" t="s">
        <v>18</v>
      </c>
      <c r="D457" s="135" t="s">
        <v>19</v>
      </c>
      <c r="E457" s="200" t="s">
        <v>18</v>
      </c>
      <c r="F457" s="140" t="s">
        <v>20</v>
      </c>
      <c r="G457" s="924" t="s">
        <v>21</v>
      </c>
      <c r="H457" s="925"/>
      <c r="I457" s="926"/>
      <c r="J457" s="140" t="s">
        <v>22</v>
      </c>
      <c r="K457" s="924" t="s">
        <v>23</v>
      </c>
      <c r="L457" s="926"/>
      <c r="M457" s="140" t="s">
        <v>24</v>
      </c>
    </row>
    <row r="458" spans="1:13" ht="15" thickBot="1" x14ac:dyDescent="0.4">
      <c r="A458" s="917"/>
      <c r="B458" s="437" t="s">
        <v>25</v>
      </c>
      <c r="C458" s="147" t="s">
        <v>25</v>
      </c>
      <c r="D458" s="147"/>
      <c r="E458" s="593" t="s">
        <v>26</v>
      </c>
      <c r="F458" s="350" t="s">
        <v>27</v>
      </c>
      <c r="G458" s="357" t="s">
        <v>28</v>
      </c>
      <c r="H458" s="354" t="s">
        <v>29</v>
      </c>
      <c r="I458" s="355" t="s">
        <v>30</v>
      </c>
      <c r="J458" s="351" t="s">
        <v>31</v>
      </c>
      <c r="K458" s="594" t="s">
        <v>32</v>
      </c>
      <c r="L458" s="347" t="s">
        <v>33</v>
      </c>
      <c r="M458" s="484" t="s">
        <v>34</v>
      </c>
    </row>
    <row r="459" spans="1:13" ht="15.5" x14ac:dyDescent="0.35">
      <c r="A459" s="204">
        <v>1</v>
      </c>
      <c r="B459" s="39">
        <v>19.600000000000001</v>
      </c>
      <c r="C459" s="40">
        <v>8.8000000000000007</v>
      </c>
      <c r="D459" s="41">
        <f>+(B459+C459)/2</f>
        <v>14.200000000000001</v>
      </c>
      <c r="E459" s="42">
        <v>6</v>
      </c>
      <c r="F459" s="595"/>
      <c r="G459" s="373">
        <v>88</v>
      </c>
      <c r="H459" s="57">
        <v>72</v>
      </c>
      <c r="I459" s="46">
        <v>85</v>
      </c>
      <c r="J459" s="283">
        <v>1.07</v>
      </c>
      <c r="K459" s="596"/>
      <c r="L459" s="284">
        <v>1.4</v>
      </c>
      <c r="M459" s="284">
        <v>2.5</v>
      </c>
    </row>
    <row r="460" spans="1:13" ht="15.5" x14ac:dyDescent="0.35">
      <c r="A460" s="209">
        <v>2</v>
      </c>
      <c r="B460" s="51">
        <v>20</v>
      </c>
      <c r="C460" s="52">
        <v>9.1999999999999993</v>
      </c>
      <c r="D460" s="41">
        <f t="shared" ref="D460:D468" si="84">+(B460+C460)/2</f>
        <v>14.6</v>
      </c>
      <c r="E460" s="53">
        <v>6.6</v>
      </c>
      <c r="F460" s="595"/>
      <c r="G460" s="213">
        <v>88</v>
      </c>
      <c r="H460" s="57">
        <v>68</v>
      </c>
      <c r="I460" s="57">
        <v>85</v>
      </c>
      <c r="J460" s="225">
        <v>0.84</v>
      </c>
      <c r="K460" s="597"/>
      <c r="L460" s="59">
        <v>1.8</v>
      </c>
      <c r="M460" s="59">
        <v>3</v>
      </c>
    </row>
    <row r="461" spans="1:13" ht="15.5" x14ac:dyDescent="0.35">
      <c r="A461" s="209">
        <v>3</v>
      </c>
      <c r="B461" s="51">
        <v>19.600000000000001</v>
      </c>
      <c r="C461" s="60">
        <v>8</v>
      </c>
      <c r="D461" s="41">
        <f t="shared" si="84"/>
        <v>13.8</v>
      </c>
      <c r="E461" s="53">
        <v>5.2</v>
      </c>
      <c r="F461" s="595"/>
      <c r="G461" s="213">
        <v>95</v>
      </c>
      <c r="H461" s="57">
        <v>78</v>
      </c>
      <c r="I461" s="57">
        <v>90</v>
      </c>
      <c r="J461" s="225">
        <v>1.65</v>
      </c>
      <c r="K461" s="597"/>
      <c r="L461" s="59">
        <v>1.6</v>
      </c>
      <c r="M461" s="59">
        <v>2.5</v>
      </c>
    </row>
    <row r="462" spans="1:13" ht="15.5" x14ac:dyDescent="0.35">
      <c r="A462" s="209">
        <v>4</v>
      </c>
      <c r="B462" s="51">
        <v>20.6</v>
      </c>
      <c r="C462" s="60">
        <v>8.4</v>
      </c>
      <c r="D462" s="41">
        <f t="shared" si="84"/>
        <v>14.5</v>
      </c>
      <c r="E462" s="61">
        <v>5.6</v>
      </c>
      <c r="F462" s="595"/>
      <c r="G462" s="213">
        <v>90</v>
      </c>
      <c r="H462" s="57">
        <v>76</v>
      </c>
      <c r="I462" s="57">
        <v>86</v>
      </c>
      <c r="J462" s="225">
        <v>1.02</v>
      </c>
      <c r="K462" s="597"/>
      <c r="L462" s="59">
        <v>2.5</v>
      </c>
      <c r="M462" s="59">
        <v>4</v>
      </c>
    </row>
    <row r="463" spans="1:13" ht="15.5" x14ac:dyDescent="0.35">
      <c r="A463" s="209">
        <v>5</v>
      </c>
      <c r="B463" s="51">
        <v>19</v>
      </c>
      <c r="C463" s="52">
        <v>16.600000000000001</v>
      </c>
      <c r="D463" s="41">
        <f t="shared" si="84"/>
        <v>17.8</v>
      </c>
      <c r="E463" s="61">
        <v>13.4</v>
      </c>
      <c r="F463" s="595"/>
      <c r="G463" s="213">
        <v>88</v>
      </c>
      <c r="H463" s="57">
        <v>74</v>
      </c>
      <c r="I463" s="57">
        <v>86</v>
      </c>
      <c r="J463" s="225">
        <v>1.51</v>
      </c>
      <c r="K463" s="597"/>
      <c r="L463" s="59">
        <v>2.1</v>
      </c>
      <c r="M463" s="59">
        <v>3.5</v>
      </c>
    </row>
    <row r="464" spans="1:13" ht="15.5" x14ac:dyDescent="0.35">
      <c r="A464" s="209">
        <v>6</v>
      </c>
      <c r="B464" s="51">
        <v>20.6</v>
      </c>
      <c r="C464" s="52">
        <v>14.6</v>
      </c>
      <c r="D464" s="41">
        <f t="shared" si="84"/>
        <v>17.600000000000001</v>
      </c>
      <c r="E464" s="61">
        <v>11.8</v>
      </c>
      <c r="F464" s="595"/>
      <c r="G464" s="213">
        <v>89</v>
      </c>
      <c r="H464" s="57">
        <v>75</v>
      </c>
      <c r="I464" s="57">
        <v>86</v>
      </c>
      <c r="J464" s="225">
        <v>0.52</v>
      </c>
      <c r="K464" s="597"/>
      <c r="L464" s="59">
        <v>0.7</v>
      </c>
      <c r="M464" s="59">
        <v>1.5</v>
      </c>
    </row>
    <row r="465" spans="1:13" ht="15.5" x14ac:dyDescent="0.35">
      <c r="A465" s="209">
        <v>7</v>
      </c>
      <c r="B465" s="51">
        <v>22</v>
      </c>
      <c r="C465" s="52">
        <v>14</v>
      </c>
      <c r="D465" s="41">
        <f t="shared" si="84"/>
        <v>18</v>
      </c>
      <c r="E465" s="61">
        <v>11.6</v>
      </c>
      <c r="F465" s="595"/>
      <c r="G465" s="213">
        <v>89</v>
      </c>
      <c r="H465" s="57">
        <v>72</v>
      </c>
      <c r="I465" s="57">
        <v>86</v>
      </c>
      <c r="J465" s="225">
        <v>1.04</v>
      </c>
      <c r="K465" s="597"/>
      <c r="L465" s="59">
        <v>1.2</v>
      </c>
      <c r="M465" s="59">
        <v>2</v>
      </c>
    </row>
    <row r="466" spans="1:13" ht="15.5" x14ac:dyDescent="0.35">
      <c r="A466" s="209">
        <v>8</v>
      </c>
      <c r="B466" s="51">
        <v>20.6</v>
      </c>
      <c r="C466" s="52">
        <v>12</v>
      </c>
      <c r="D466" s="41">
        <f t="shared" si="84"/>
        <v>16.3</v>
      </c>
      <c r="E466" s="61">
        <v>9.8000000000000007</v>
      </c>
      <c r="F466" s="595"/>
      <c r="G466" s="213">
        <v>87</v>
      </c>
      <c r="H466" s="57">
        <v>70</v>
      </c>
      <c r="I466" s="57">
        <v>85</v>
      </c>
      <c r="J466" s="225">
        <v>0.78</v>
      </c>
      <c r="K466" s="597"/>
      <c r="L466" s="59">
        <v>1</v>
      </c>
      <c r="M466" s="59">
        <v>2</v>
      </c>
    </row>
    <row r="467" spans="1:13" ht="15.5" x14ac:dyDescent="0.35">
      <c r="A467" s="209">
        <v>9</v>
      </c>
      <c r="B467" s="51">
        <v>20</v>
      </c>
      <c r="C467" s="52">
        <v>17</v>
      </c>
      <c r="D467" s="41">
        <f t="shared" si="84"/>
        <v>18.5</v>
      </c>
      <c r="E467" s="61">
        <v>14.8</v>
      </c>
      <c r="F467" s="595"/>
      <c r="G467" s="213">
        <v>88</v>
      </c>
      <c r="H467" s="57">
        <v>76</v>
      </c>
      <c r="I467" s="57">
        <v>85</v>
      </c>
      <c r="J467" s="225">
        <v>0.66</v>
      </c>
      <c r="K467" s="597"/>
      <c r="L467" s="59">
        <v>0.9</v>
      </c>
      <c r="M467" s="59">
        <v>1.5</v>
      </c>
    </row>
    <row r="468" spans="1:13" ht="16" thickBot="1" x14ac:dyDescent="0.4">
      <c r="A468" s="214">
        <v>10</v>
      </c>
      <c r="B468" s="51">
        <v>18</v>
      </c>
      <c r="C468" s="60">
        <v>15.4</v>
      </c>
      <c r="D468" s="41">
        <f t="shared" si="84"/>
        <v>16.7</v>
      </c>
      <c r="E468" s="53">
        <v>13</v>
      </c>
      <c r="F468" s="595"/>
      <c r="G468" s="213">
        <v>87</v>
      </c>
      <c r="H468" s="57">
        <v>76</v>
      </c>
      <c r="I468" s="57">
        <v>86</v>
      </c>
      <c r="J468" s="225">
        <v>1.1100000000000001</v>
      </c>
      <c r="K468" s="597"/>
      <c r="L468" s="59">
        <v>1.6</v>
      </c>
      <c r="M468" s="59">
        <v>2.5</v>
      </c>
    </row>
    <row r="469" spans="1:13" ht="16" thickBot="1" x14ac:dyDescent="0.4">
      <c r="A469" s="298" t="s">
        <v>35</v>
      </c>
      <c r="B469" s="407">
        <f>SUM(B459:B468)</f>
        <v>200</v>
      </c>
      <c r="C469" s="407">
        <f>SUM(C459:C468)</f>
        <v>124</v>
      </c>
      <c r="D469" s="407">
        <f>SUM(D459:D468)</f>
        <v>162</v>
      </c>
      <c r="E469" s="407">
        <f>SUM(E459:E468)</f>
        <v>97.8</v>
      </c>
      <c r="F469" s="598">
        <f>SUM(F459:F468)</f>
        <v>0</v>
      </c>
      <c r="G469" s="599">
        <f t="shared" ref="G469:L469" si="85">SUM(G459:G468)</f>
        <v>889</v>
      </c>
      <c r="H469" s="600">
        <f t="shared" si="85"/>
        <v>737</v>
      </c>
      <c r="I469" s="601">
        <f t="shared" si="85"/>
        <v>860</v>
      </c>
      <c r="J469" s="559">
        <f t="shared" si="85"/>
        <v>10.199999999999999</v>
      </c>
      <c r="K469" s="602">
        <f t="shared" si="85"/>
        <v>0</v>
      </c>
      <c r="L469" s="603">
        <f t="shared" si="85"/>
        <v>14.799999999999999</v>
      </c>
      <c r="M469" s="415">
        <f>SUM(M459:M468)</f>
        <v>25</v>
      </c>
    </row>
    <row r="470" spans="1:13" ht="15.5" x14ac:dyDescent="0.35">
      <c r="A470" s="306">
        <v>11</v>
      </c>
      <c r="B470" s="51">
        <v>19</v>
      </c>
      <c r="C470" s="60">
        <v>12.6</v>
      </c>
      <c r="D470" s="41">
        <f t="shared" ref="D470:D479" si="86">+(B470+C470)/2</f>
        <v>15.8</v>
      </c>
      <c r="E470" s="53">
        <v>10.199999999999999</v>
      </c>
      <c r="F470" s="604"/>
      <c r="G470" s="213">
        <v>89</v>
      </c>
      <c r="H470" s="57">
        <v>77</v>
      </c>
      <c r="I470" s="57">
        <v>87</v>
      </c>
      <c r="J470" s="225">
        <v>1.31</v>
      </c>
      <c r="K470" s="597"/>
      <c r="L470" s="307">
        <v>2.1</v>
      </c>
      <c r="M470" s="307">
        <v>3.5</v>
      </c>
    </row>
    <row r="471" spans="1:13" ht="15.5" x14ac:dyDescent="0.35">
      <c r="A471" s="209">
        <v>12</v>
      </c>
      <c r="B471" s="51">
        <v>21</v>
      </c>
      <c r="C471" s="52">
        <v>13.6</v>
      </c>
      <c r="D471" s="41">
        <f t="shared" si="86"/>
        <v>17.3</v>
      </c>
      <c r="E471" s="61">
        <v>11.2</v>
      </c>
      <c r="F471" s="604"/>
      <c r="G471" s="213">
        <v>90</v>
      </c>
      <c r="H471" s="57">
        <v>81</v>
      </c>
      <c r="I471" s="57">
        <v>86</v>
      </c>
      <c r="J471" s="225">
        <v>0.95</v>
      </c>
      <c r="K471" s="597"/>
      <c r="L471" s="307">
        <v>1.2</v>
      </c>
      <c r="M471" s="307">
        <v>2</v>
      </c>
    </row>
    <row r="472" spans="1:13" ht="15.5" x14ac:dyDescent="0.35">
      <c r="A472" s="209">
        <v>13</v>
      </c>
      <c r="B472" s="51">
        <v>23</v>
      </c>
      <c r="C472" s="52">
        <v>15.8</v>
      </c>
      <c r="D472" s="41">
        <f t="shared" si="86"/>
        <v>19.399999999999999</v>
      </c>
      <c r="E472" s="61">
        <v>13.6</v>
      </c>
      <c r="F472" s="604"/>
      <c r="G472" s="213">
        <v>88</v>
      </c>
      <c r="H472" s="57">
        <v>73</v>
      </c>
      <c r="I472" s="57">
        <v>84</v>
      </c>
      <c r="J472" s="225">
        <v>0.75</v>
      </c>
      <c r="K472" s="597"/>
      <c r="L472" s="307">
        <v>0.8</v>
      </c>
      <c r="M472" s="307">
        <v>1.5</v>
      </c>
    </row>
    <row r="473" spans="1:13" ht="15.5" x14ac:dyDescent="0.35">
      <c r="A473" s="209">
        <v>14</v>
      </c>
      <c r="B473" s="51">
        <v>19</v>
      </c>
      <c r="C473" s="52">
        <v>8</v>
      </c>
      <c r="D473" s="41">
        <f t="shared" si="86"/>
        <v>13.5</v>
      </c>
      <c r="E473" s="61">
        <v>4.8</v>
      </c>
      <c r="F473" s="604"/>
      <c r="G473" s="213">
        <v>88</v>
      </c>
      <c r="H473" s="57">
        <v>74</v>
      </c>
      <c r="I473" s="57">
        <v>85</v>
      </c>
      <c r="J473" s="225">
        <v>1.25</v>
      </c>
      <c r="K473" s="597">
        <v>1.7</v>
      </c>
      <c r="L473" s="307">
        <v>1.7</v>
      </c>
      <c r="M473" s="307">
        <v>3</v>
      </c>
    </row>
    <row r="474" spans="1:13" ht="15.5" x14ac:dyDescent="0.35">
      <c r="A474" s="209">
        <v>15</v>
      </c>
      <c r="B474" s="51">
        <v>17.600000000000001</v>
      </c>
      <c r="C474" s="52">
        <v>11.6</v>
      </c>
      <c r="D474" s="41">
        <f t="shared" si="86"/>
        <v>14.600000000000001</v>
      </c>
      <c r="E474" s="61">
        <v>9.1999999999999993</v>
      </c>
      <c r="F474" s="604"/>
      <c r="G474" s="213">
        <v>88</v>
      </c>
      <c r="H474" s="57">
        <v>76</v>
      </c>
      <c r="I474" s="57">
        <v>84</v>
      </c>
      <c r="J474" s="225">
        <v>1.3</v>
      </c>
      <c r="K474" s="597"/>
      <c r="L474" s="307">
        <v>1.9</v>
      </c>
      <c r="M474" s="307">
        <v>3</v>
      </c>
    </row>
    <row r="475" spans="1:13" ht="15.5" x14ac:dyDescent="0.35">
      <c r="A475" s="209">
        <v>16</v>
      </c>
      <c r="B475" s="51">
        <v>16.399999999999999</v>
      </c>
      <c r="C475" s="52">
        <v>10.4</v>
      </c>
      <c r="D475" s="41">
        <f t="shared" si="86"/>
        <v>13.399999999999999</v>
      </c>
      <c r="E475" s="61">
        <v>7.6</v>
      </c>
      <c r="F475" s="604"/>
      <c r="G475" s="213">
        <v>87</v>
      </c>
      <c r="H475" s="57">
        <v>72</v>
      </c>
      <c r="I475" s="57">
        <v>84</v>
      </c>
      <c r="J475" s="225">
        <v>0.88</v>
      </c>
      <c r="K475" s="597"/>
      <c r="L475" s="307">
        <v>1.6</v>
      </c>
      <c r="M475" s="307">
        <v>2.5</v>
      </c>
    </row>
    <row r="476" spans="1:13" ht="15.5" x14ac:dyDescent="0.35">
      <c r="A476" s="223">
        <v>17</v>
      </c>
      <c r="B476" s="51">
        <v>19.600000000000001</v>
      </c>
      <c r="C476" s="60">
        <v>8.6</v>
      </c>
      <c r="D476" s="41">
        <f t="shared" si="86"/>
        <v>14.100000000000001</v>
      </c>
      <c r="E476" s="61">
        <v>5.6</v>
      </c>
      <c r="F476" s="604"/>
      <c r="G476" s="213">
        <v>86</v>
      </c>
      <c r="H476" s="57">
        <v>73</v>
      </c>
      <c r="I476" s="57">
        <v>83</v>
      </c>
      <c r="J476" s="225">
        <v>1.1000000000000001</v>
      </c>
      <c r="K476" s="597"/>
      <c r="L476" s="307">
        <v>1.2</v>
      </c>
      <c r="M476" s="307">
        <v>2</v>
      </c>
    </row>
    <row r="477" spans="1:13" ht="15.5" x14ac:dyDescent="0.35">
      <c r="A477" s="223">
        <v>18</v>
      </c>
      <c r="B477" s="51">
        <v>18</v>
      </c>
      <c r="C477" s="60">
        <v>12</v>
      </c>
      <c r="D477" s="41">
        <f t="shared" si="86"/>
        <v>15</v>
      </c>
      <c r="E477" s="53">
        <v>9.4</v>
      </c>
      <c r="F477" s="604"/>
      <c r="G477" s="213">
        <v>90</v>
      </c>
      <c r="H477" s="57">
        <v>74</v>
      </c>
      <c r="I477" s="57">
        <v>86</v>
      </c>
      <c r="J477" s="225">
        <v>0.98</v>
      </c>
      <c r="K477" s="597"/>
      <c r="L477" s="307">
        <v>1.4</v>
      </c>
      <c r="M477" s="307">
        <v>2.5</v>
      </c>
    </row>
    <row r="478" spans="1:13" ht="15.5" x14ac:dyDescent="0.35">
      <c r="A478" s="223">
        <v>19</v>
      </c>
      <c r="B478" s="51">
        <v>17.399999999999999</v>
      </c>
      <c r="C478" s="60">
        <v>10</v>
      </c>
      <c r="D478" s="41">
        <f t="shared" si="86"/>
        <v>13.7</v>
      </c>
      <c r="E478" s="61">
        <v>7.6</v>
      </c>
      <c r="F478" s="604"/>
      <c r="G478" s="213">
        <v>92</v>
      </c>
      <c r="H478" s="57">
        <v>81</v>
      </c>
      <c r="I478" s="57">
        <v>88</v>
      </c>
      <c r="J478" s="225">
        <v>1.2</v>
      </c>
      <c r="K478" s="597"/>
      <c r="L478" s="307">
        <v>1.8</v>
      </c>
      <c r="M478" s="307">
        <v>3</v>
      </c>
    </row>
    <row r="479" spans="1:13" ht="16" thickBot="1" x14ac:dyDescent="0.4">
      <c r="A479" s="311">
        <v>20</v>
      </c>
      <c r="B479" s="51">
        <v>18</v>
      </c>
      <c r="C479" s="60">
        <v>14</v>
      </c>
      <c r="D479" s="41">
        <f t="shared" si="86"/>
        <v>16</v>
      </c>
      <c r="E479" s="61">
        <v>11.4</v>
      </c>
      <c r="F479" s="604"/>
      <c r="G479" s="213">
        <v>90</v>
      </c>
      <c r="H479" s="57">
        <v>78</v>
      </c>
      <c r="I479" s="57">
        <v>87</v>
      </c>
      <c r="J479" s="225">
        <v>1.73</v>
      </c>
      <c r="K479" s="597"/>
      <c r="L479" s="291">
        <v>2</v>
      </c>
      <c r="M479" s="291">
        <v>3.5</v>
      </c>
    </row>
    <row r="480" spans="1:13" ht="16" thickBot="1" x14ac:dyDescent="0.4">
      <c r="A480" s="298" t="s">
        <v>35</v>
      </c>
      <c r="B480" s="407">
        <f t="shared" ref="B480:L480" si="87">SUM(B470:B479)</f>
        <v>189</v>
      </c>
      <c r="C480" s="407">
        <f t="shared" si="87"/>
        <v>116.6</v>
      </c>
      <c r="D480" s="407">
        <f t="shared" si="87"/>
        <v>152.79999999999998</v>
      </c>
      <c r="E480" s="407">
        <f t="shared" si="87"/>
        <v>90.600000000000009</v>
      </c>
      <c r="F480" s="598">
        <f t="shared" si="87"/>
        <v>0</v>
      </c>
      <c r="G480" s="599">
        <f t="shared" si="87"/>
        <v>888</v>
      </c>
      <c r="H480" s="600">
        <f t="shared" si="87"/>
        <v>759</v>
      </c>
      <c r="I480" s="601">
        <f t="shared" si="87"/>
        <v>854</v>
      </c>
      <c r="J480" s="559">
        <f t="shared" si="87"/>
        <v>11.45</v>
      </c>
      <c r="K480" s="602">
        <f t="shared" si="87"/>
        <v>1.7</v>
      </c>
      <c r="L480" s="603">
        <f t="shared" si="87"/>
        <v>15.7</v>
      </c>
      <c r="M480" s="415">
        <f>SUM(M470:M479)</f>
        <v>26.5</v>
      </c>
    </row>
    <row r="481" spans="1:13" ht="15.5" x14ac:dyDescent="0.35">
      <c r="A481" s="316">
        <v>21</v>
      </c>
      <c r="B481" s="51">
        <v>19.8</v>
      </c>
      <c r="C481" s="60">
        <v>16</v>
      </c>
      <c r="D481" s="41">
        <f t="shared" ref="D481:D490" si="88">+(B481+C481)/2</f>
        <v>17.899999999999999</v>
      </c>
      <c r="E481" s="61">
        <v>13.2</v>
      </c>
      <c r="F481" s="595"/>
      <c r="G481" s="213">
        <v>91</v>
      </c>
      <c r="H481" s="57">
        <v>74</v>
      </c>
      <c r="I481" s="57">
        <v>89</v>
      </c>
      <c r="J481" s="225">
        <v>1.84</v>
      </c>
      <c r="K481" s="597"/>
      <c r="L481" s="291">
        <v>2.4</v>
      </c>
      <c r="M481" s="291">
        <v>4</v>
      </c>
    </row>
    <row r="482" spans="1:13" ht="15.5" x14ac:dyDescent="0.35">
      <c r="A482" s="223">
        <v>22</v>
      </c>
      <c r="B482" s="51">
        <v>18.600000000000001</v>
      </c>
      <c r="C482" s="60">
        <v>16.600000000000001</v>
      </c>
      <c r="D482" s="41">
        <f t="shared" si="88"/>
        <v>17.600000000000001</v>
      </c>
      <c r="E482" s="53">
        <v>13.8</v>
      </c>
      <c r="F482" s="595"/>
      <c r="G482" s="373">
        <v>92</v>
      </c>
      <c r="H482" s="57">
        <v>81</v>
      </c>
      <c r="I482" s="57">
        <v>90</v>
      </c>
      <c r="J482" s="225">
        <v>1.58</v>
      </c>
      <c r="K482" s="597"/>
      <c r="L482" s="291">
        <v>2.2000000000000002</v>
      </c>
      <c r="M482" s="291">
        <v>3.5</v>
      </c>
    </row>
    <row r="483" spans="1:13" ht="15.5" x14ac:dyDescent="0.35">
      <c r="A483" s="223">
        <v>23</v>
      </c>
      <c r="B483" s="51">
        <v>16.2</v>
      </c>
      <c r="C483" s="60">
        <v>13</v>
      </c>
      <c r="D483" s="41">
        <f t="shared" si="88"/>
        <v>14.6</v>
      </c>
      <c r="E483" s="61">
        <v>10.6</v>
      </c>
      <c r="F483" s="595"/>
      <c r="G483" s="373">
        <v>89</v>
      </c>
      <c r="H483" s="57">
        <v>77</v>
      </c>
      <c r="I483" s="57">
        <v>90</v>
      </c>
      <c r="J483" s="225">
        <v>1.03</v>
      </c>
      <c r="K483" s="597"/>
      <c r="L483" s="291">
        <v>1.6</v>
      </c>
      <c r="M483" s="291">
        <v>2.5</v>
      </c>
    </row>
    <row r="484" spans="1:13" ht="15.5" x14ac:dyDescent="0.35">
      <c r="A484" s="223">
        <v>24</v>
      </c>
      <c r="B484" s="51">
        <v>18.399999999999999</v>
      </c>
      <c r="C484" s="60">
        <v>12</v>
      </c>
      <c r="D484" s="41">
        <f t="shared" si="88"/>
        <v>15.2</v>
      </c>
      <c r="E484" s="61">
        <v>10.199999999999999</v>
      </c>
      <c r="F484" s="595"/>
      <c r="G484" s="373">
        <v>89</v>
      </c>
      <c r="H484" s="57">
        <v>76</v>
      </c>
      <c r="I484" s="57">
        <v>88</v>
      </c>
      <c r="J484" s="225">
        <v>0.93</v>
      </c>
      <c r="K484" s="597"/>
      <c r="L484" s="451">
        <v>1.3</v>
      </c>
      <c r="M484" s="451">
        <v>2</v>
      </c>
    </row>
    <row r="485" spans="1:13" ht="15.5" x14ac:dyDescent="0.35">
      <c r="A485" s="223">
        <v>25</v>
      </c>
      <c r="B485" s="51">
        <v>21.6</v>
      </c>
      <c r="C485" s="60">
        <v>13.8</v>
      </c>
      <c r="D485" s="41">
        <f t="shared" si="88"/>
        <v>17.700000000000003</v>
      </c>
      <c r="E485" s="53">
        <v>11.2</v>
      </c>
      <c r="F485" s="595"/>
      <c r="G485" s="373">
        <v>88</v>
      </c>
      <c r="H485" s="57">
        <v>67</v>
      </c>
      <c r="I485" s="57">
        <v>87</v>
      </c>
      <c r="J485" s="225">
        <v>1.23</v>
      </c>
      <c r="K485" s="597"/>
      <c r="L485" s="451">
        <v>1.5</v>
      </c>
      <c r="M485" s="451">
        <v>2.5</v>
      </c>
    </row>
    <row r="486" spans="1:13" ht="15.5" x14ac:dyDescent="0.35">
      <c r="A486" s="223">
        <v>26</v>
      </c>
      <c r="B486" s="51">
        <v>21</v>
      </c>
      <c r="C486" s="60">
        <v>12.2</v>
      </c>
      <c r="D486" s="41">
        <f t="shared" si="88"/>
        <v>16.600000000000001</v>
      </c>
      <c r="E486" s="53">
        <v>9.8000000000000007</v>
      </c>
      <c r="F486" s="595"/>
      <c r="G486" s="211">
        <v>89</v>
      </c>
      <c r="H486" s="57">
        <v>70</v>
      </c>
      <c r="I486" s="57">
        <v>85</v>
      </c>
      <c r="J486" s="225">
        <v>0.87</v>
      </c>
      <c r="K486" s="597"/>
      <c r="L486" s="307">
        <v>1.1000000000000001</v>
      </c>
      <c r="M486" s="307">
        <v>2</v>
      </c>
    </row>
    <row r="487" spans="1:13" ht="15.5" x14ac:dyDescent="0.35">
      <c r="A487" s="223">
        <v>27</v>
      </c>
      <c r="B487" s="51">
        <v>21.6</v>
      </c>
      <c r="C487" s="60">
        <v>9.6</v>
      </c>
      <c r="D487" s="41">
        <f t="shared" si="88"/>
        <v>15.600000000000001</v>
      </c>
      <c r="E487" s="53">
        <v>6.8</v>
      </c>
      <c r="F487" s="595"/>
      <c r="G487" s="211">
        <v>88</v>
      </c>
      <c r="H487" s="57">
        <v>74</v>
      </c>
      <c r="I487" s="57">
        <v>82</v>
      </c>
      <c r="J487" s="225">
        <v>1</v>
      </c>
      <c r="K487" s="597"/>
      <c r="L487" s="307">
        <v>1.2</v>
      </c>
      <c r="M487" s="307">
        <v>2</v>
      </c>
    </row>
    <row r="488" spans="1:13" ht="15.5" x14ac:dyDescent="0.35">
      <c r="A488" s="223">
        <v>28</v>
      </c>
      <c r="B488" s="51">
        <v>21.4</v>
      </c>
      <c r="C488" s="60">
        <v>12.2</v>
      </c>
      <c r="D488" s="41">
        <f t="shared" si="88"/>
        <v>16.799999999999997</v>
      </c>
      <c r="E488" s="53">
        <v>9.6</v>
      </c>
      <c r="F488" s="605"/>
      <c r="G488" s="211">
        <v>89</v>
      </c>
      <c r="H488" s="57">
        <v>70</v>
      </c>
      <c r="I488" s="57">
        <v>85</v>
      </c>
      <c r="J488" s="225">
        <v>0.86</v>
      </c>
      <c r="K488" s="597"/>
      <c r="L488" s="307">
        <v>1</v>
      </c>
      <c r="M488" s="307">
        <v>2</v>
      </c>
    </row>
    <row r="489" spans="1:13" ht="15.5" x14ac:dyDescent="0.35">
      <c r="A489" s="223">
        <v>29</v>
      </c>
      <c r="B489" s="51">
        <v>21</v>
      </c>
      <c r="C489" s="60">
        <v>8.6</v>
      </c>
      <c r="D489" s="41">
        <f t="shared" si="88"/>
        <v>14.8</v>
      </c>
      <c r="E489" s="53">
        <v>6.2</v>
      </c>
      <c r="F489" s="605"/>
      <c r="G489" s="211">
        <v>88</v>
      </c>
      <c r="H489" s="57">
        <v>75</v>
      </c>
      <c r="I489" s="57">
        <v>85</v>
      </c>
      <c r="J489" s="225">
        <v>0.99</v>
      </c>
      <c r="K489" s="597"/>
      <c r="L489" s="307">
        <v>1.2</v>
      </c>
      <c r="M489" s="307">
        <v>2</v>
      </c>
    </row>
    <row r="490" spans="1:13" ht="15.5" x14ac:dyDescent="0.35">
      <c r="A490" s="223">
        <v>30</v>
      </c>
      <c r="B490" s="51">
        <v>20</v>
      </c>
      <c r="C490" s="60">
        <v>12.4</v>
      </c>
      <c r="D490" s="41">
        <f t="shared" si="88"/>
        <v>16.2</v>
      </c>
      <c r="E490" s="53">
        <v>10</v>
      </c>
      <c r="F490" s="605"/>
      <c r="G490" s="211">
        <v>88</v>
      </c>
      <c r="H490" s="57">
        <v>74</v>
      </c>
      <c r="I490" s="57">
        <v>85</v>
      </c>
      <c r="J490" s="225">
        <v>1.42</v>
      </c>
      <c r="K490" s="597"/>
      <c r="L490" s="307">
        <v>2.5</v>
      </c>
      <c r="M490" s="307">
        <v>4</v>
      </c>
    </row>
    <row r="491" spans="1:13" ht="16" thickBot="1" x14ac:dyDescent="0.4">
      <c r="A491" s="226">
        <v>31</v>
      </c>
      <c r="B491" s="419"/>
      <c r="C491" s="606"/>
      <c r="D491" s="607"/>
      <c r="E491" s="565"/>
      <c r="F491" s="608"/>
      <c r="G491" s="609"/>
      <c r="H491" s="610"/>
      <c r="I491" s="325"/>
      <c r="J491" s="611"/>
      <c r="K491" s="597"/>
      <c r="L491" s="612"/>
      <c r="M491" s="428"/>
    </row>
    <row r="492" spans="1:13" ht="16" thickBot="1" x14ac:dyDescent="0.4">
      <c r="A492" s="406" t="s">
        <v>35</v>
      </c>
      <c r="B492" s="569">
        <f>SUM(B481:B491)</f>
        <v>199.6</v>
      </c>
      <c r="C492" s="569">
        <f>SUM(C481:C491)</f>
        <v>126.4</v>
      </c>
      <c r="D492" s="569">
        <f>SUM(D481:D491)</f>
        <v>163</v>
      </c>
      <c r="E492" s="569">
        <f>SUM(E481:E491)</f>
        <v>101.39999999999999</v>
      </c>
      <c r="F492" s="613">
        <f>SUM(F481:F491)</f>
        <v>0</v>
      </c>
      <c r="G492" s="614">
        <f t="shared" ref="G492:L492" si="89">SUM(G481:G491)</f>
        <v>891</v>
      </c>
      <c r="H492" s="615">
        <f t="shared" si="89"/>
        <v>738</v>
      </c>
      <c r="I492" s="616">
        <f t="shared" si="89"/>
        <v>866</v>
      </c>
      <c r="J492" s="617">
        <f t="shared" si="89"/>
        <v>11.75</v>
      </c>
      <c r="K492" s="602">
        <f t="shared" si="89"/>
        <v>0</v>
      </c>
      <c r="L492" s="603">
        <f t="shared" si="89"/>
        <v>15.999999999999998</v>
      </c>
      <c r="M492" s="618">
        <f>SUM(M481:M491)</f>
        <v>26.5</v>
      </c>
    </row>
    <row r="493" spans="1:13" ht="16" thickBot="1" x14ac:dyDescent="0.4">
      <c r="A493" s="186" t="s">
        <v>36</v>
      </c>
      <c r="B493" s="571">
        <f>(B492+B480+B469)</f>
        <v>588.6</v>
      </c>
      <c r="C493" s="571">
        <f t="shared" ref="C493:L493" si="90">(C492+C480+C469)</f>
        <v>367</v>
      </c>
      <c r="D493" s="571">
        <f t="shared" si="90"/>
        <v>477.79999999999995</v>
      </c>
      <c r="E493" s="571">
        <f t="shared" si="90"/>
        <v>289.8</v>
      </c>
      <c r="F493" s="585">
        <f t="shared" si="90"/>
        <v>0</v>
      </c>
      <c r="G493" s="587">
        <f t="shared" si="90"/>
        <v>2668</v>
      </c>
      <c r="H493" s="619">
        <f t="shared" si="90"/>
        <v>2234</v>
      </c>
      <c r="I493" s="620">
        <f t="shared" si="90"/>
        <v>2580</v>
      </c>
      <c r="J493" s="621">
        <f t="shared" si="90"/>
        <v>33.4</v>
      </c>
      <c r="K493" s="622">
        <f t="shared" si="90"/>
        <v>1.7</v>
      </c>
      <c r="L493" s="623">
        <f t="shared" si="90"/>
        <v>46.499999999999993</v>
      </c>
      <c r="M493" s="586">
        <f>M492+M480+M469</f>
        <v>78</v>
      </c>
    </row>
    <row r="494" spans="1:13" ht="16" thickBot="1" x14ac:dyDescent="0.4">
      <c r="A494" s="192" t="s">
        <v>19</v>
      </c>
      <c r="B494" s="587">
        <f>B493/30</f>
        <v>19.62</v>
      </c>
      <c r="C494" s="587">
        <f t="shared" ref="C494:E494" si="91">C493/30</f>
        <v>12.233333333333333</v>
      </c>
      <c r="D494" s="587">
        <f t="shared" si="91"/>
        <v>15.926666666666666</v>
      </c>
      <c r="E494" s="587">
        <f t="shared" si="91"/>
        <v>9.66</v>
      </c>
      <c r="F494" s="336" t="s">
        <v>59</v>
      </c>
      <c r="G494" s="624">
        <f>G493/30</f>
        <v>88.933333333333337</v>
      </c>
      <c r="H494" s="625">
        <f t="shared" ref="H494:I494" si="92">H493/30</f>
        <v>74.466666666666669</v>
      </c>
      <c r="I494" s="626">
        <f t="shared" si="92"/>
        <v>86</v>
      </c>
      <c r="J494" s="627">
        <f>J493/30</f>
        <v>1.1133333333333333</v>
      </c>
      <c r="K494" s="628"/>
      <c r="L494" s="629"/>
      <c r="M494" s="630"/>
    </row>
    <row r="495" spans="1:13" ht="15" thickBot="1" x14ac:dyDescent="0.4">
      <c r="F495" s="4"/>
      <c r="G495" s="4"/>
      <c r="H495" s="4"/>
      <c r="I495" s="4"/>
      <c r="J495" s="4"/>
      <c r="K495" s="4"/>
      <c r="L495" s="4"/>
      <c r="M495" s="4"/>
    </row>
    <row r="496" spans="1:13" ht="16" thickBot="1" x14ac:dyDescent="0.4">
      <c r="A496" s="1" t="s">
        <v>0</v>
      </c>
      <c r="B496" s="2"/>
      <c r="C496" s="2"/>
      <c r="D496" s="2"/>
      <c r="E496" s="2"/>
      <c r="F496" s="3"/>
      <c r="G496" s="4"/>
      <c r="H496" s="4"/>
      <c r="I496" s="4"/>
      <c r="J496" s="4"/>
      <c r="K496" s="4"/>
      <c r="L496" s="4"/>
      <c r="M496" s="4"/>
    </row>
    <row r="497" spans="1:13" ht="15.5" x14ac:dyDescent="0.35">
      <c r="A497" s="5" t="s">
        <v>2</v>
      </c>
      <c r="B497" s="6"/>
      <c r="C497" s="6"/>
      <c r="D497" s="6"/>
      <c r="E497" s="6"/>
      <c r="F497" s="7"/>
      <c r="G497" s="4"/>
      <c r="H497" s="4"/>
      <c r="I497" s="1" t="s">
        <v>56</v>
      </c>
      <c r="J497" s="2"/>
      <c r="K497" s="2"/>
      <c r="L497" s="2"/>
      <c r="M497" s="8"/>
    </row>
    <row r="498" spans="1:13" ht="15.5" x14ac:dyDescent="0.35">
      <c r="A498" s="5" t="s">
        <v>4</v>
      </c>
      <c r="B498" s="6"/>
      <c r="C498" s="6"/>
      <c r="D498" s="6"/>
      <c r="E498" s="6"/>
      <c r="F498" s="7"/>
      <c r="G498" s="4"/>
      <c r="H498" s="4"/>
      <c r="I498" s="5" t="s">
        <v>5</v>
      </c>
      <c r="J498" s="6"/>
      <c r="K498" s="6"/>
      <c r="L498" s="9"/>
      <c r="M498" s="344"/>
    </row>
    <row r="499" spans="1:13" ht="16" thickBot="1" x14ac:dyDescent="0.4">
      <c r="A499" s="11" t="s">
        <v>6</v>
      </c>
      <c r="B499" s="12"/>
      <c r="C499" s="12"/>
      <c r="D499" s="12"/>
      <c r="E499" s="12"/>
      <c r="F499" s="13"/>
      <c r="G499" s="4"/>
      <c r="H499" s="4"/>
      <c r="I499" s="11" t="s">
        <v>7</v>
      </c>
      <c r="J499" s="12"/>
      <c r="K499" s="12"/>
      <c r="L499" s="345" t="s">
        <v>60</v>
      </c>
      <c r="M499" s="346"/>
    </row>
    <row r="500" spans="1:13" ht="26" thickBot="1" x14ac:dyDescent="0.65">
      <c r="A500" s="17" t="s">
        <v>39</v>
      </c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5" thickBot="1" x14ac:dyDescent="0.4">
      <c r="A501" s="915" t="s">
        <v>10</v>
      </c>
      <c r="B501" s="930" t="s">
        <v>11</v>
      </c>
      <c r="C501" s="931"/>
      <c r="D501" s="931"/>
      <c r="E501" s="932"/>
      <c r="F501" s="132" t="s">
        <v>12</v>
      </c>
      <c r="G501" s="356" t="s">
        <v>13</v>
      </c>
      <c r="H501" s="348"/>
      <c r="I501" s="349"/>
      <c r="J501" s="132" t="s">
        <v>14</v>
      </c>
      <c r="K501" s="918" t="s">
        <v>15</v>
      </c>
      <c r="L501" s="920"/>
      <c r="M501" s="132" t="s">
        <v>16</v>
      </c>
    </row>
    <row r="502" spans="1:13" ht="15" thickBot="1" x14ac:dyDescent="0.4">
      <c r="A502" s="916"/>
      <c r="B502" s="438" t="s">
        <v>17</v>
      </c>
      <c r="C502" s="143" t="s">
        <v>18</v>
      </c>
      <c r="D502" s="143" t="s">
        <v>19</v>
      </c>
      <c r="E502" s="201" t="s">
        <v>18</v>
      </c>
      <c r="F502" s="138" t="s">
        <v>20</v>
      </c>
      <c r="G502" s="350" t="s">
        <v>21</v>
      </c>
      <c r="H502" s="149"/>
      <c r="I502" s="351"/>
      <c r="J502" s="139" t="s">
        <v>22</v>
      </c>
      <c r="K502" s="138" t="s">
        <v>23</v>
      </c>
      <c r="L502" s="139"/>
      <c r="M502" s="140" t="s">
        <v>24</v>
      </c>
    </row>
    <row r="503" spans="1:13" ht="15" thickBot="1" x14ac:dyDescent="0.4">
      <c r="A503" s="917"/>
      <c r="B503" s="353" t="s">
        <v>25</v>
      </c>
      <c r="C503" s="354" t="s">
        <v>25</v>
      </c>
      <c r="D503" s="354"/>
      <c r="E503" s="347" t="s">
        <v>26</v>
      </c>
      <c r="F503" s="350" t="s">
        <v>27</v>
      </c>
      <c r="G503" s="357" t="s">
        <v>28</v>
      </c>
      <c r="H503" s="354" t="s">
        <v>29</v>
      </c>
      <c r="I503" s="355" t="s">
        <v>30</v>
      </c>
      <c r="J503" s="351" t="s">
        <v>31</v>
      </c>
      <c r="K503" s="631" t="s">
        <v>32</v>
      </c>
      <c r="L503" s="593" t="s">
        <v>33</v>
      </c>
      <c r="M503" s="484" t="s">
        <v>34</v>
      </c>
    </row>
    <row r="504" spans="1:13" ht="15.5" x14ac:dyDescent="0.35">
      <c r="A504" s="632">
        <v>1</v>
      </c>
      <c r="B504" s="596">
        <v>18.2</v>
      </c>
      <c r="C504" s="633">
        <v>4</v>
      </c>
      <c r="D504" s="633">
        <f t="shared" ref="D504:D513" si="93">(B504+C504)/2</f>
        <v>11.1</v>
      </c>
      <c r="E504" s="634">
        <v>2.6</v>
      </c>
      <c r="F504" s="635"/>
      <c r="G504" s="221">
        <v>89</v>
      </c>
      <c r="H504" s="636">
        <v>76</v>
      </c>
      <c r="I504" s="636">
        <v>87</v>
      </c>
      <c r="J504" s="637">
        <v>0.96</v>
      </c>
      <c r="K504" s="595">
        <v>1.4</v>
      </c>
      <c r="L504" s="398">
        <v>2.5</v>
      </c>
      <c r="M504" s="400"/>
    </row>
    <row r="505" spans="1:13" ht="15.5" x14ac:dyDescent="0.35">
      <c r="A505" s="638">
        <v>2</v>
      </c>
      <c r="B505" s="597">
        <v>19.399999999999999</v>
      </c>
      <c r="C505" s="639">
        <v>5</v>
      </c>
      <c r="D505" s="640">
        <f t="shared" si="93"/>
        <v>12.2</v>
      </c>
      <c r="E505" s="612">
        <v>2.8</v>
      </c>
      <c r="F505" s="641"/>
      <c r="G505" s="316">
        <v>89</v>
      </c>
      <c r="H505" s="642">
        <v>77</v>
      </c>
      <c r="I505" s="643">
        <v>87</v>
      </c>
      <c r="J505" s="644">
        <v>0.84</v>
      </c>
      <c r="K505" s="604">
        <v>1.8</v>
      </c>
      <c r="L505" s="417">
        <v>3</v>
      </c>
      <c r="M505" s="400"/>
    </row>
    <row r="506" spans="1:13" ht="15.5" x14ac:dyDescent="0.35">
      <c r="A506" s="638">
        <v>3</v>
      </c>
      <c r="B506" s="597">
        <v>20</v>
      </c>
      <c r="C506" s="639">
        <v>5.4</v>
      </c>
      <c r="D506" s="640">
        <f t="shared" si="93"/>
        <v>12.7</v>
      </c>
      <c r="E506" s="645">
        <v>3</v>
      </c>
      <c r="F506" s="641"/>
      <c r="G506" s="316">
        <v>92</v>
      </c>
      <c r="H506" s="642">
        <v>77</v>
      </c>
      <c r="I506" s="643">
        <v>89</v>
      </c>
      <c r="J506" s="644">
        <v>0.94</v>
      </c>
      <c r="K506" s="604">
        <v>1.6</v>
      </c>
      <c r="L506" s="417">
        <v>2.5</v>
      </c>
      <c r="M506" s="400"/>
    </row>
    <row r="507" spans="1:13" ht="15.5" x14ac:dyDescent="0.35">
      <c r="A507" s="638">
        <v>4</v>
      </c>
      <c r="B507" s="597">
        <v>19.2</v>
      </c>
      <c r="C507" s="639">
        <v>2.4</v>
      </c>
      <c r="D507" s="640">
        <f t="shared" si="93"/>
        <v>10.799999999999999</v>
      </c>
      <c r="E507" s="645">
        <v>0</v>
      </c>
      <c r="F507" s="641"/>
      <c r="G507" s="316">
        <v>95</v>
      </c>
      <c r="H507" s="642">
        <v>82</v>
      </c>
      <c r="I507" s="643">
        <v>90</v>
      </c>
      <c r="J507" s="644">
        <v>1.88</v>
      </c>
      <c r="K507" s="604">
        <v>2.5</v>
      </c>
      <c r="L507" s="417">
        <v>4</v>
      </c>
      <c r="M507" s="400"/>
    </row>
    <row r="508" spans="1:13" ht="15.5" x14ac:dyDescent="0.35">
      <c r="A508" s="638">
        <v>5</v>
      </c>
      <c r="B508" s="597">
        <v>16.2</v>
      </c>
      <c r="C508" s="639">
        <v>4.2</v>
      </c>
      <c r="D508" s="640">
        <f t="shared" si="93"/>
        <v>10.199999999999999</v>
      </c>
      <c r="E508" s="612">
        <v>2.4</v>
      </c>
      <c r="F508" s="641"/>
      <c r="G508" s="316">
        <v>92</v>
      </c>
      <c r="H508" s="642">
        <v>80</v>
      </c>
      <c r="I508" s="643">
        <v>90</v>
      </c>
      <c r="J508" s="644">
        <v>1.53</v>
      </c>
      <c r="K508" s="604">
        <v>2.5</v>
      </c>
      <c r="L508" s="417">
        <v>4</v>
      </c>
      <c r="M508" s="400"/>
    </row>
    <row r="509" spans="1:13" ht="15.5" x14ac:dyDescent="0.35">
      <c r="A509" s="638">
        <v>6</v>
      </c>
      <c r="B509" s="597">
        <v>14</v>
      </c>
      <c r="C509" s="639">
        <v>3.4</v>
      </c>
      <c r="D509" s="640">
        <f t="shared" si="93"/>
        <v>8.6999999999999993</v>
      </c>
      <c r="E509" s="612">
        <v>1.2</v>
      </c>
      <c r="F509" s="641"/>
      <c r="G509" s="646">
        <v>89</v>
      </c>
      <c r="H509" s="642">
        <v>79</v>
      </c>
      <c r="I509" s="642">
        <v>85</v>
      </c>
      <c r="J509" s="644">
        <v>1.97</v>
      </c>
      <c r="K509" s="604">
        <v>3.7</v>
      </c>
      <c r="L509" s="417">
        <v>5</v>
      </c>
      <c r="M509" s="400"/>
    </row>
    <row r="510" spans="1:13" ht="15.5" x14ac:dyDescent="0.35">
      <c r="A510" s="638">
        <v>7</v>
      </c>
      <c r="B510" s="597">
        <v>15.6</v>
      </c>
      <c r="C510" s="639">
        <v>2</v>
      </c>
      <c r="D510" s="640">
        <f t="shared" si="93"/>
        <v>8.8000000000000007</v>
      </c>
      <c r="E510" s="612">
        <v>0</v>
      </c>
      <c r="F510" s="641"/>
      <c r="G510" s="646">
        <v>88</v>
      </c>
      <c r="H510" s="642">
        <v>72</v>
      </c>
      <c r="I510" s="642">
        <v>85</v>
      </c>
      <c r="J510" s="644">
        <v>1.2</v>
      </c>
      <c r="K510" s="604">
        <v>2</v>
      </c>
      <c r="L510" s="417">
        <v>3.5</v>
      </c>
      <c r="M510" s="400"/>
    </row>
    <row r="511" spans="1:13" ht="15.5" x14ac:dyDescent="0.35">
      <c r="A511" s="638">
        <v>8</v>
      </c>
      <c r="B511" s="597">
        <v>17.600000000000001</v>
      </c>
      <c r="C511" s="639">
        <v>1.8</v>
      </c>
      <c r="D511" s="640">
        <f t="shared" si="93"/>
        <v>9.7000000000000011</v>
      </c>
      <c r="E511" s="612">
        <v>-2</v>
      </c>
      <c r="F511" s="641"/>
      <c r="G511" s="646">
        <v>89</v>
      </c>
      <c r="H511" s="642">
        <v>77</v>
      </c>
      <c r="I511" s="642">
        <v>86</v>
      </c>
      <c r="J511" s="644">
        <v>1.05</v>
      </c>
      <c r="K511" s="604">
        <v>1.6</v>
      </c>
      <c r="L511" s="417">
        <v>2.5</v>
      </c>
      <c r="M511" s="400"/>
    </row>
    <row r="512" spans="1:13" ht="15.5" x14ac:dyDescent="0.35">
      <c r="A512" s="638">
        <v>9</v>
      </c>
      <c r="B512" s="597">
        <v>13</v>
      </c>
      <c r="C512" s="639">
        <v>3.6</v>
      </c>
      <c r="D512" s="640">
        <f t="shared" si="93"/>
        <v>8.3000000000000007</v>
      </c>
      <c r="E512" s="612">
        <v>2.6</v>
      </c>
      <c r="F512" s="641"/>
      <c r="G512" s="646">
        <v>93</v>
      </c>
      <c r="H512" s="642">
        <v>80</v>
      </c>
      <c r="I512" s="642">
        <v>90</v>
      </c>
      <c r="J512" s="644">
        <v>1.82</v>
      </c>
      <c r="K512" s="604">
        <v>3.6</v>
      </c>
      <c r="L512" s="417">
        <v>5</v>
      </c>
      <c r="M512" s="400"/>
    </row>
    <row r="513" spans="1:13" ht="16" thickBot="1" x14ac:dyDescent="0.4">
      <c r="A513" s="647">
        <v>10</v>
      </c>
      <c r="B513" s="597">
        <v>14.6</v>
      </c>
      <c r="C513" s="639">
        <v>4</v>
      </c>
      <c r="D513" s="640">
        <f t="shared" si="93"/>
        <v>9.3000000000000007</v>
      </c>
      <c r="E513" s="612">
        <v>3</v>
      </c>
      <c r="F513" s="322"/>
      <c r="G513" s="646">
        <v>88</v>
      </c>
      <c r="H513" s="642">
        <v>79</v>
      </c>
      <c r="I513" s="642">
        <v>85</v>
      </c>
      <c r="J513" s="644">
        <v>1.1200000000000001</v>
      </c>
      <c r="K513" s="604">
        <v>2</v>
      </c>
      <c r="L513" s="417">
        <v>3.5</v>
      </c>
      <c r="M513" s="404"/>
    </row>
    <row r="514" spans="1:13" ht="16" thickBot="1" x14ac:dyDescent="0.4">
      <c r="A514" s="648" t="s">
        <v>35</v>
      </c>
      <c r="B514" s="245">
        <f t="shared" ref="B514:L514" si="94">SUM(B504:B513)</f>
        <v>167.79999999999998</v>
      </c>
      <c r="C514" s="649">
        <f t="shared" si="94"/>
        <v>35.799999999999997</v>
      </c>
      <c r="D514" s="649">
        <f t="shared" si="94"/>
        <v>101.8</v>
      </c>
      <c r="E514" s="246">
        <f t="shared" si="94"/>
        <v>15.6</v>
      </c>
      <c r="F514" s="650">
        <f t="shared" si="94"/>
        <v>0</v>
      </c>
      <c r="G514" s="651">
        <f t="shared" si="94"/>
        <v>904</v>
      </c>
      <c r="H514" s="652">
        <f t="shared" si="94"/>
        <v>779</v>
      </c>
      <c r="I514" s="333">
        <f t="shared" si="94"/>
        <v>874</v>
      </c>
      <c r="J514" s="653">
        <f t="shared" si="94"/>
        <v>13.309999999999999</v>
      </c>
      <c r="K514" s="330">
        <f t="shared" si="94"/>
        <v>22.700000000000003</v>
      </c>
      <c r="L514" s="654">
        <f t="shared" si="94"/>
        <v>35.5</v>
      </c>
      <c r="M514" s="334">
        <f>SUM(M504:M513)</f>
        <v>0</v>
      </c>
    </row>
    <row r="515" spans="1:13" ht="15.5" x14ac:dyDescent="0.35">
      <c r="A515" s="655">
        <v>11</v>
      </c>
      <c r="B515" s="656">
        <v>18.600000000000001</v>
      </c>
      <c r="C515" s="657">
        <v>4.4000000000000004</v>
      </c>
      <c r="D515" s="640">
        <f>(B515+C515)/2</f>
        <v>11.5</v>
      </c>
      <c r="E515" s="658">
        <v>3.2</v>
      </c>
      <c r="F515" s="635"/>
      <c r="G515" s="316">
        <v>92</v>
      </c>
      <c r="H515" s="659">
        <v>78</v>
      </c>
      <c r="I515" s="659">
        <v>90</v>
      </c>
      <c r="J515" s="644">
        <v>1.08</v>
      </c>
      <c r="K515" s="604">
        <v>1.5</v>
      </c>
      <c r="L515" s="400">
        <v>2.5</v>
      </c>
      <c r="M515" s="400"/>
    </row>
    <row r="516" spans="1:13" ht="15.5" x14ac:dyDescent="0.35">
      <c r="A516" s="638">
        <v>12</v>
      </c>
      <c r="B516" s="597">
        <v>20.399999999999999</v>
      </c>
      <c r="C516" s="660">
        <v>4.8</v>
      </c>
      <c r="D516" s="640">
        <f t="shared" ref="D516:D524" si="95">(B516+C516)/2</f>
        <v>12.6</v>
      </c>
      <c r="E516" s="612">
        <v>3.6</v>
      </c>
      <c r="F516" s="641"/>
      <c r="G516" s="223">
        <v>93</v>
      </c>
      <c r="H516" s="642">
        <v>79</v>
      </c>
      <c r="I516" s="642">
        <v>91</v>
      </c>
      <c r="J516" s="644">
        <v>0.87</v>
      </c>
      <c r="K516" s="595">
        <v>1.1000000000000001</v>
      </c>
      <c r="L516" s="400">
        <v>2</v>
      </c>
      <c r="M516" s="400"/>
    </row>
    <row r="517" spans="1:13" ht="15.5" x14ac:dyDescent="0.35">
      <c r="A517" s="638">
        <v>13</v>
      </c>
      <c r="B517" s="597">
        <v>20.6</v>
      </c>
      <c r="C517" s="639">
        <v>5.2</v>
      </c>
      <c r="D517" s="640">
        <f t="shared" si="95"/>
        <v>12.9</v>
      </c>
      <c r="E517" s="612">
        <v>3.8</v>
      </c>
      <c r="F517" s="641"/>
      <c r="G517" s="223">
        <v>93</v>
      </c>
      <c r="H517" s="642">
        <v>83</v>
      </c>
      <c r="I517" s="642">
        <v>91</v>
      </c>
      <c r="J517" s="644">
        <v>1.1100000000000001</v>
      </c>
      <c r="K517" s="595">
        <v>1.4</v>
      </c>
      <c r="L517" s="400">
        <v>2.5</v>
      </c>
      <c r="M517" s="400"/>
    </row>
    <row r="518" spans="1:13" ht="15.5" x14ac:dyDescent="0.35">
      <c r="A518" s="638">
        <v>14</v>
      </c>
      <c r="B518" s="597">
        <v>20.6</v>
      </c>
      <c r="C518" s="639">
        <v>6.6</v>
      </c>
      <c r="D518" s="640">
        <f t="shared" si="95"/>
        <v>13.600000000000001</v>
      </c>
      <c r="E518" s="645">
        <v>3.8</v>
      </c>
      <c r="F518" s="641"/>
      <c r="G518" s="223">
        <v>91</v>
      </c>
      <c r="H518" s="642">
        <v>83</v>
      </c>
      <c r="I518" s="642">
        <v>89</v>
      </c>
      <c r="J518" s="644">
        <v>0.69</v>
      </c>
      <c r="K518" s="595">
        <v>0.9</v>
      </c>
      <c r="L518" s="400">
        <v>1.5</v>
      </c>
      <c r="M518" s="400"/>
    </row>
    <row r="519" spans="1:13" ht="15.5" x14ac:dyDescent="0.35">
      <c r="A519" s="638">
        <v>15</v>
      </c>
      <c r="B519" s="597">
        <v>15</v>
      </c>
      <c r="C519" s="660">
        <v>5.6</v>
      </c>
      <c r="D519" s="640">
        <f t="shared" si="95"/>
        <v>10.3</v>
      </c>
      <c r="E519" s="645">
        <v>3.2</v>
      </c>
      <c r="F519" s="641"/>
      <c r="G519" s="223">
        <v>89</v>
      </c>
      <c r="H519" s="642">
        <v>79</v>
      </c>
      <c r="I519" s="659">
        <v>87</v>
      </c>
      <c r="J519" s="644">
        <v>1.69</v>
      </c>
      <c r="K519" s="595">
        <v>2.9</v>
      </c>
      <c r="L519" s="400">
        <v>5</v>
      </c>
      <c r="M519" s="400"/>
    </row>
    <row r="520" spans="1:13" ht="15.5" x14ac:dyDescent="0.35">
      <c r="A520" s="638">
        <v>16</v>
      </c>
      <c r="B520" s="597">
        <v>14</v>
      </c>
      <c r="C520" s="660">
        <v>1</v>
      </c>
      <c r="D520" s="640">
        <f t="shared" si="95"/>
        <v>7.5</v>
      </c>
      <c r="E520" s="645">
        <v>2.8</v>
      </c>
      <c r="F520" s="641"/>
      <c r="G520" s="223">
        <v>89</v>
      </c>
      <c r="H520" s="642">
        <v>75</v>
      </c>
      <c r="I520" s="643">
        <v>87</v>
      </c>
      <c r="J520" s="644">
        <v>1.1000000000000001</v>
      </c>
      <c r="K520" s="595">
        <v>2</v>
      </c>
      <c r="L520" s="400">
        <v>3.5</v>
      </c>
      <c r="M520" s="400"/>
    </row>
    <row r="521" spans="1:13" ht="15.5" x14ac:dyDescent="0.35">
      <c r="A521" s="638">
        <v>17</v>
      </c>
      <c r="B521" s="597">
        <v>18.2</v>
      </c>
      <c r="C521" s="660">
        <v>0</v>
      </c>
      <c r="D521" s="640">
        <f t="shared" si="95"/>
        <v>9.1</v>
      </c>
      <c r="E521" s="645">
        <v>-1.8</v>
      </c>
      <c r="F521" s="635"/>
      <c r="G521" s="223">
        <v>95</v>
      </c>
      <c r="H521" s="642">
        <v>81</v>
      </c>
      <c r="I521" s="643">
        <v>92</v>
      </c>
      <c r="J521" s="644">
        <v>0.92</v>
      </c>
      <c r="K521" s="595">
        <v>1.2</v>
      </c>
      <c r="L521" s="400">
        <v>2</v>
      </c>
      <c r="M521" s="400"/>
    </row>
    <row r="522" spans="1:13" ht="15.5" x14ac:dyDescent="0.35">
      <c r="A522" s="638">
        <v>18</v>
      </c>
      <c r="B522" s="597">
        <v>19</v>
      </c>
      <c r="C522" s="660">
        <v>0</v>
      </c>
      <c r="D522" s="640">
        <f t="shared" si="95"/>
        <v>9.5</v>
      </c>
      <c r="E522" s="645">
        <v>-2</v>
      </c>
      <c r="F522" s="635"/>
      <c r="G522" s="223">
        <v>93</v>
      </c>
      <c r="H522" s="642">
        <v>84</v>
      </c>
      <c r="I522" s="643">
        <v>91</v>
      </c>
      <c r="J522" s="644">
        <v>1.18</v>
      </c>
      <c r="K522" s="595">
        <v>1.6</v>
      </c>
      <c r="L522" s="400">
        <v>2.5</v>
      </c>
      <c r="M522" s="400"/>
    </row>
    <row r="523" spans="1:13" ht="15.5" x14ac:dyDescent="0.35">
      <c r="A523" s="638">
        <v>19</v>
      </c>
      <c r="B523" s="597">
        <v>18</v>
      </c>
      <c r="C523" s="660">
        <v>1</v>
      </c>
      <c r="D523" s="640">
        <f t="shared" si="95"/>
        <v>9.5</v>
      </c>
      <c r="E523" s="645">
        <v>0</v>
      </c>
      <c r="F523" s="635"/>
      <c r="G523" s="223">
        <v>89</v>
      </c>
      <c r="H523" s="642">
        <v>78</v>
      </c>
      <c r="I523" s="643">
        <v>86</v>
      </c>
      <c r="J523" s="644">
        <v>1.28</v>
      </c>
      <c r="K523" s="595">
        <v>1.8</v>
      </c>
      <c r="L523" s="400">
        <v>3</v>
      </c>
      <c r="M523" s="400"/>
    </row>
    <row r="524" spans="1:13" ht="16" thickBot="1" x14ac:dyDescent="0.4">
      <c r="A524" s="647">
        <v>20</v>
      </c>
      <c r="B524" s="597">
        <v>17.600000000000001</v>
      </c>
      <c r="C524" s="639">
        <v>11</v>
      </c>
      <c r="D524" s="640">
        <f t="shared" si="95"/>
        <v>14.3</v>
      </c>
      <c r="E524" s="612">
        <v>8.6</v>
      </c>
      <c r="F524" s="124"/>
      <c r="G524" s="223">
        <v>89</v>
      </c>
      <c r="H524" s="642">
        <v>72</v>
      </c>
      <c r="I524" s="659">
        <v>86</v>
      </c>
      <c r="J524" s="644">
        <v>1.05</v>
      </c>
      <c r="K524" s="595">
        <v>2</v>
      </c>
      <c r="L524" s="417">
        <v>3.5</v>
      </c>
      <c r="M524" s="404"/>
    </row>
    <row r="525" spans="1:13" ht="16" thickBot="1" x14ac:dyDescent="0.4">
      <c r="A525" s="648" t="s">
        <v>35</v>
      </c>
      <c r="B525" s="245">
        <f t="shared" ref="B525:L525" si="96">SUM(B515:B524)</f>
        <v>182</v>
      </c>
      <c r="C525" s="649">
        <f t="shared" si="96"/>
        <v>39.6</v>
      </c>
      <c r="D525" s="649">
        <f t="shared" si="96"/>
        <v>110.8</v>
      </c>
      <c r="E525" s="246">
        <f t="shared" si="96"/>
        <v>25.200000000000003</v>
      </c>
      <c r="F525" s="650">
        <f t="shared" si="96"/>
        <v>0</v>
      </c>
      <c r="G525" s="651">
        <f t="shared" si="96"/>
        <v>913</v>
      </c>
      <c r="H525" s="652">
        <f t="shared" si="96"/>
        <v>792</v>
      </c>
      <c r="I525" s="333">
        <f t="shared" si="96"/>
        <v>890</v>
      </c>
      <c r="J525" s="653">
        <f t="shared" si="96"/>
        <v>10.97</v>
      </c>
      <c r="K525" s="330">
        <f t="shared" si="96"/>
        <v>16.399999999999999</v>
      </c>
      <c r="L525" s="654">
        <f t="shared" si="96"/>
        <v>28</v>
      </c>
      <c r="M525" s="334">
        <f>SUM(M515:M524)</f>
        <v>0</v>
      </c>
    </row>
    <row r="526" spans="1:13" ht="15.5" x14ac:dyDescent="0.35">
      <c r="A526" s="655">
        <v>21</v>
      </c>
      <c r="B526" s="597">
        <v>20.8</v>
      </c>
      <c r="C526" s="639">
        <v>9</v>
      </c>
      <c r="D526" s="640">
        <f t="shared" ref="D526:D536" si="97">(B526+C526)/2</f>
        <v>14.9</v>
      </c>
      <c r="E526" s="612">
        <v>8</v>
      </c>
      <c r="F526" s="635"/>
      <c r="G526" s="223">
        <v>92</v>
      </c>
      <c r="H526" s="642">
        <v>80</v>
      </c>
      <c r="I526" s="642">
        <v>89</v>
      </c>
      <c r="J526" s="644">
        <v>1.06</v>
      </c>
      <c r="K526" s="595">
        <v>1.3</v>
      </c>
      <c r="L526" s="417">
        <v>2</v>
      </c>
      <c r="M526" s="400"/>
    </row>
    <row r="527" spans="1:13" ht="15.5" x14ac:dyDescent="0.35">
      <c r="A527" s="638">
        <v>22</v>
      </c>
      <c r="B527" s="597">
        <v>20.8</v>
      </c>
      <c r="C527" s="660">
        <v>8</v>
      </c>
      <c r="D527" s="640">
        <f t="shared" si="97"/>
        <v>14.4</v>
      </c>
      <c r="E527" s="645">
        <v>5</v>
      </c>
      <c r="F527" s="635"/>
      <c r="G527" s="223">
        <v>90</v>
      </c>
      <c r="H527" s="642">
        <v>78</v>
      </c>
      <c r="I527" s="642">
        <v>89</v>
      </c>
      <c r="J527" s="644">
        <v>1.2</v>
      </c>
      <c r="K527" s="595">
        <v>1.5</v>
      </c>
      <c r="L527" s="417">
        <v>2.5</v>
      </c>
      <c r="M527" s="400"/>
    </row>
    <row r="528" spans="1:13" ht="15.5" x14ac:dyDescent="0.35">
      <c r="A528" s="638">
        <v>23</v>
      </c>
      <c r="B528" s="597">
        <v>21</v>
      </c>
      <c r="C528" s="660">
        <v>4</v>
      </c>
      <c r="D528" s="640">
        <f t="shared" si="97"/>
        <v>12.5</v>
      </c>
      <c r="E528" s="645">
        <v>1.6</v>
      </c>
      <c r="F528" s="635"/>
      <c r="G528" s="223">
        <v>91</v>
      </c>
      <c r="H528" s="642">
        <v>80</v>
      </c>
      <c r="I528" s="642">
        <v>89</v>
      </c>
      <c r="J528" s="644">
        <v>1</v>
      </c>
      <c r="K528" s="595">
        <v>1.6</v>
      </c>
      <c r="L528" s="417">
        <v>2.5</v>
      </c>
      <c r="M528" s="400"/>
    </row>
    <row r="529" spans="1:13" ht="15.5" x14ac:dyDescent="0.35">
      <c r="A529" s="638">
        <v>24</v>
      </c>
      <c r="B529" s="597">
        <v>19.8</v>
      </c>
      <c r="C529" s="660">
        <v>2</v>
      </c>
      <c r="D529" s="640">
        <f t="shared" si="97"/>
        <v>10.9</v>
      </c>
      <c r="E529" s="645">
        <v>0</v>
      </c>
      <c r="F529" s="635"/>
      <c r="G529" s="223">
        <v>92</v>
      </c>
      <c r="H529" s="642">
        <v>82</v>
      </c>
      <c r="I529" s="642">
        <v>89</v>
      </c>
      <c r="J529" s="644">
        <v>0.7</v>
      </c>
      <c r="K529" s="595">
        <v>0.9</v>
      </c>
      <c r="L529" s="451">
        <v>1.5</v>
      </c>
      <c r="M529" s="400"/>
    </row>
    <row r="530" spans="1:13" ht="15.5" x14ac:dyDescent="0.35">
      <c r="A530" s="638">
        <v>25</v>
      </c>
      <c r="B530" s="597">
        <v>19.600000000000001</v>
      </c>
      <c r="C530" s="660">
        <v>1</v>
      </c>
      <c r="D530" s="640">
        <f t="shared" si="97"/>
        <v>10.3</v>
      </c>
      <c r="E530" s="645">
        <v>-1.2</v>
      </c>
      <c r="F530" s="635"/>
      <c r="G530" s="223">
        <v>90</v>
      </c>
      <c r="H530" s="642">
        <v>82</v>
      </c>
      <c r="I530" s="642">
        <v>87</v>
      </c>
      <c r="J530" s="644">
        <v>0.85</v>
      </c>
      <c r="K530" s="595">
        <v>1.1000000000000001</v>
      </c>
      <c r="L530" s="451">
        <v>2</v>
      </c>
      <c r="M530" s="400"/>
    </row>
    <row r="531" spans="1:13" ht="15.5" x14ac:dyDescent="0.35">
      <c r="A531" s="638">
        <v>26</v>
      </c>
      <c r="B531" s="597">
        <v>20</v>
      </c>
      <c r="C531" s="660">
        <v>3</v>
      </c>
      <c r="D531" s="640">
        <f t="shared" si="97"/>
        <v>11.5</v>
      </c>
      <c r="E531" s="645">
        <v>0</v>
      </c>
      <c r="F531" s="635"/>
      <c r="G531" s="223">
        <v>88</v>
      </c>
      <c r="H531" s="642">
        <v>81</v>
      </c>
      <c r="I531" s="642">
        <v>86</v>
      </c>
      <c r="J531" s="644">
        <v>1.1100000000000001</v>
      </c>
      <c r="K531" s="595">
        <v>1.4</v>
      </c>
      <c r="L531" s="400">
        <v>2.5</v>
      </c>
      <c r="M531" s="400"/>
    </row>
    <row r="532" spans="1:13" ht="15.5" x14ac:dyDescent="0.35">
      <c r="A532" s="638">
        <v>27</v>
      </c>
      <c r="B532" s="597">
        <v>18.600000000000001</v>
      </c>
      <c r="C532" s="639">
        <v>1</v>
      </c>
      <c r="D532" s="640">
        <f t="shared" si="97"/>
        <v>9.8000000000000007</v>
      </c>
      <c r="E532" s="645">
        <v>-1.4</v>
      </c>
      <c r="F532" s="635"/>
      <c r="G532" s="223">
        <v>89</v>
      </c>
      <c r="H532" s="642">
        <v>78</v>
      </c>
      <c r="I532" s="642">
        <v>86</v>
      </c>
      <c r="J532" s="644">
        <v>1.01</v>
      </c>
      <c r="K532" s="595">
        <v>1.4</v>
      </c>
      <c r="L532" s="400">
        <v>2.5</v>
      </c>
      <c r="M532" s="400"/>
    </row>
    <row r="533" spans="1:13" ht="15.5" x14ac:dyDescent="0.35">
      <c r="A533" s="638">
        <v>28</v>
      </c>
      <c r="B533" s="597">
        <v>15.8</v>
      </c>
      <c r="C533" s="639">
        <v>0</v>
      </c>
      <c r="D533" s="640">
        <f t="shared" si="97"/>
        <v>7.9</v>
      </c>
      <c r="E533" s="612">
        <v>-1</v>
      </c>
      <c r="F533" s="635"/>
      <c r="G533" s="223">
        <v>94</v>
      </c>
      <c r="H533" s="642">
        <v>80</v>
      </c>
      <c r="I533" s="642">
        <v>90</v>
      </c>
      <c r="J533" s="644">
        <v>1</v>
      </c>
      <c r="K533" s="595">
        <v>1.6</v>
      </c>
      <c r="L533" s="400">
        <v>2.5</v>
      </c>
      <c r="M533" s="400"/>
    </row>
    <row r="534" spans="1:13" ht="15.5" x14ac:dyDescent="0.35">
      <c r="A534" s="638">
        <v>29</v>
      </c>
      <c r="B534" s="597">
        <v>16</v>
      </c>
      <c r="C534" s="639">
        <v>0.8</v>
      </c>
      <c r="D534" s="640">
        <f t="shared" si="97"/>
        <v>8.4</v>
      </c>
      <c r="E534" s="645">
        <v>-1.6</v>
      </c>
      <c r="F534" s="635"/>
      <c r="G534" s="223">
        <v>95</v>
      </c>
      <c r="H534" s="642">
        <v>80</v>
      </c>
      <c r="I534" s="642">
        <v>92</v>
      </c>
      <c r="J534" s="644">
        <v>0.78</v>
      </c>
      <c r="K534" s="595">
        <v>1.3</v>
      </c>
      <c r="L534" s="400">
        <v>2</v>
      </c>
      <c r="M534" s="400"/>
    </row>
    <row r="535" spans="1:13" ht="15.5" x14ac:dyDescent="0.35">
      <c r="A535" s="638">
        <v>30</v>
      </c>
      <c r="B535" s="597">
        <v>18</v>
      </c>
      <c r="C535" s="639">
        <v>0</v>
      </c>
      <c r="D535" s="640">
        <f t="shared" si="97"/>
        <v>9</v>
      </c>
      <c r="E535" s="645">
        <v>-2</v>
      </c>
      <c r="F535" s="635"/>
      <c r="G535" s="223">
        <v>89</v>
      </c>
      <c r="H535" s="642">
        <v>76</v>
      </c>
      <c r="I535" s="642">
        <v>86</v>
      </c>
      <c r="J535" s="644">
        <v>0.89</v>
      </c>
      <c r="K535" s="595">
        <v>2.5</v>
      </c>
      <c r="L535" s="400">
        <v>4</v>
      </c>
      <c r="M535" s="400"/>
    </row>
    <row r="536" spans="1:13" ht="16" thickBot="1" x14ac:dyDescent="0.4">
      <c r="A536" s="647">
        <v>31</v>
      </c>
      <c r="B536" s="318">
        <v>15.6</v>
      </c>
      <c r="C536" s="319">
        <v>2</v>
      </c>
      <c r="D536" s="320">
        <f t="shared" si="97"/>
        <v>8.8000000000000007</v>
      </c>
      <c r="E536" s="321">
        <v>-1</v>
      </c>
      <c r="F536" s="124"/>
      <c r="G536" s="661">
        <v>90</v>
      </c>
      <c r="H536" s="325">
        <v>80</v>
      </c>
      <c r="I536" s="325">
        <v>87</v>
      </c>
      <c r="J536" s="662">
        <v>0.83</v>
      </c>
      <c r="K536" s="663">
        <v>1.4</v>
      </c>
      <c r="L536" s="580">
        <v>2.5</v>
      </c>
      <c r="M536" s="404"/>
    </row>
    <row r="537" spans="1:13" ht="16" thickBot="1" x14ac:dyDescent="0.4">
      <c r="A537" s="664" t="s">
        <v>35</v>
      </c>
      <c r="B537" s="245">
        <f>SUM(B526:B536)</f>
        <v>206</v>
      </c>
      <c r="C537" s="245">
        <f>SUM(C526:C536)</f>
        <v>30.8</v>
      </c>
      <c r="D537" s="245">
        <f>SUM(D526:D536)</f>
        <v>118.4</v>
      </c>
      <c r="E537" s="334">
        <f>SUM(E526:E536)</f>
        <v>6.4</v>
      </c>
      <c r="F537" s="330">
        <v>0</v>
      </c>
      <c r="G537" s="651">
        <f t="shared" ref="G537:L537" si="98">SUM(G526:G536)</f>
        <v>1000</v>
      </c>
      <c r="H537" s="651">
        <f t="shared" si="98"/>
        <v>877</v>
      </c>
      <c r="I537" s="331">
        <f t="shared" si="98"/>
        <v>970</v>
      </c>
      <c r="J537" s="653">
        <f t="shared" si="98"/>
        <v>10.43</v>
      </c>
      <c r="K537" s="245">
        <f t="shared" si="98"/>
        <v>16</v>
      </c>
      <c r="L537" s="245">
        <f t="shared" si="98"/>
        <v>26.5</v>
      </c>
      <c r="M537" s="334">
        <f>SUM(M526:M536)</f>
        <v>0</v>
      </c>
    </row>
    <row r="538" spans="1:13" ht="16" thickBot="1" x14ac:dyDescent="0.4">
      <c r="A538" s="665" t="s">
        <v>36</v>
      </c>
      <c r="B538" s="433">
        <f>+(B537+B525+B514)</f>
        <v>555.79999999999995</v>
      </c>
      <c r="C538" s="433">
        <f t="shared" ref="C538:M538" si="99">+(C537+C525+C514)</f>
        <v>106.2</v>
      </c>
      <c r="D538" s="433">
        <f t="shared" si="99"/>
        <v>331</v>
      </c>
      <c r="E538" s="666">
        <f t="shared" si="99"/>
        <v>47.2</v>
      </c>
      <c r="F538" s="667">
        <f t="shared" si="99"/>
        <v>0</v>
      </c>
      <c r="G538" s="433">
        <f t="shared" si="99"/>
        <v>2817</v>
      </c>
      <c r="H538" s="433">
        <f t="shared" si="99"/>
        <v>2448</v>
      </c>
      <c r="I538" s="666">
        <f t="shared" si="99"/>
        <v>2734</v>
      </c>
      <c r="J538" s="668">
        <f t="shared" si="99"/>
        <v>34.709999999999994</v>
      </c>
      <c r="K538" s="433">
        <f t="shared" si="99"/>
        <v>55.1</v>
      </c>
      <c r="L538" s="433">
        <f t="shared" si="99"/>
        <v>90</v>
      </c>
      <c r="M538" s="666">
        <f t="shared" si="99"/>
        <v>0</v>
      </c>
    </row>
    <row r="539" spans="1:13" ht="16" thickBot="1" x14ac:dyDescent="0.4">
      <c r="A539" s="669" t="s">
        <v>19</v>
      </c>
      <c r="B539" s="249">
        <f>B538/31</f>
        <v>17.929032258064513</v>
      </c>
      <c r="C539" s="249">
        <f t="shared" ref="C539:E539" si="100">C538/31</f>
        <v>3.4258064516129032</v>
      </c>
      <c r="D539" s="249">
        <f t="shared" si="100"/>
        <v>10.67741935483871</v>
      </c>
      <c r="E539" s="257">
        <f t="shared" si="100"/>
        <v>1.5225806451612904</v>
      </c>
      <c r="F539" s="336" t="s">
        <v>59</v>
      </c>
      <c r="G539" s="263">
        <f>G538/31</f>
        <v>90.870967741935488</v>
      </c>
      <c r="H539" s="263">
        <f t="shared" ref="H539:J539" si="101">H538/31</f>
        <v>78.967741935483872</v>
      </c>
      <c r="I539" s="339">
        <f t="shared" si="101"/>
        <v>88.193548387096769</v>
      </c>
      <c r="J539" s="670">
        <f t="shared" si="101"/>
        <v>1.1196774193548384</v>
      </c>
      <c r="K539" s="671">
        <v>0</v>
      </c>
      <c r="L539" s="671">
        <v>0</v>
      </c>
      <c r="M539" s="269">
        <v>0</v>
      </c>
    </row>
  </sheetData>
  <mergeCells count="69">
    <mergeCell ref="A501:A503"/>
    <mergeCell ref="B501:E501"/>
    <mergeCell ref="K501:L501"/>
    <mergeCell ref="A411:A413"/>
    <mergeCell ref="B411:E411"/>
    <mergeCell ref="G411:I411"/>
    <mergeCell ref="K411:L411"/>
    <mergeCell ref="A456:A458"/>
    <mergeCell ref="B456:E456"/>
    <mergeCell ref="G456:I456"/>
    <mergeCell ref="K456:L456"/>
    <mergeCell ref="G457:I457"/>
    <mergeCell ref="K457:L457"/>
    <mergeCell ref="A366:A368"/>
    <mergeCell ref="B366:E366"/>
    <mergeCell ref="G366:I366"/>
    <mergeCell ref="K366:L366"/>
    <mergeCell ref="G367:I367"/>
    <mergeCell ref="K367:L367"/>
    <mergeCell ref="I317:M317"/>
    <mergeCell ref="I318:M318"/>
    <mergeCell ref="I319:M319"/>
    <mergeCell ref="A321:A323"/>
    <mergeCell ref="B321:E321"/>
    <mergeCell ref="G321:I321"/>
    <mergeCell ref="K321:L321"/>
    <mergeCell ref="G322:I322"/>
    <mergeCell ref="K322:L322"/>
    <mergeCell ref="A276:A278"/>
    <mergeCell ref="B276:E276"/>
    <mergeCell ref="G276:I276"/>
    <mergeCell ref="K276:L276"/>
    <mergeCell ref="G277:I277"/>
    <mergeCell ref="K277:L277"/>
    <mergeCell ref="A231:A233"/>
    <mergeCell ref="B231:E231"/>
    <mergeCell ref="G231:I231"/>
    <mergeCell ref="K231:L231"/>
    <mergeCell ref="G232:I232"/>
    <mergeCell ref="K232:L232"/>
    <mergeCell ref="A229:F229"/>
    <mergeCell ref="I229:M229"/>
    <mergeCell ref="G142:I142"/>
    <mergeCell ref="K142:L142"/>
    <mergeCell ref="A186:A188"/>
    <mergeCell ref="B186:E186"/>
    <mergeCell ref="G186:I186"/>
    <mergeCell ref="K186:L186"/>
    <mergeCell ref="G187:I187"/>
    <mergeCell ref="A226:F226"/>
    <mergeCell ref="A227:F227"/>
    <mergeCell ref="I227:M227"/>
    <mergeCell ref="A228:F228"/>
    <mergeCell ref="I228:M228"/>
    <mergeCell ref="A96:A98"/>
    <mergeCell ref="B96:E96"/>
    <mergeCell ref="G96:I96"/>
    <mergeCell ref="K96:L96"/>
    <mergeCell ref="B141:E141"/>
    <mergeCell ref="G141:I141"/>
    <mergeCell ref="K141:L141"/>
    <mergeCell ref="A6:A8"/>
    <mergeCell ref="B6:E6"/>
    <mergeCell ref="G6:I6"/>
    <mergeCell ref="K6:L6"/>
    <mergeCell ref="A51:A53"/>
    <mergeCell ref="B51:E51"/>
    <mergeCell ref="G51:I51"/>
    <mergeCell ref="K51:L51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CE8A-D4F0-4B6E-B0E0-A47EF4D11D03}">
  <dimension ref="A1:Q539"/>
  <sheetViews>
    <sheetView tabSelected="1" zoomScale="71" zoomScaleNormal="100" workbookViewId="0">
      <selection activeCell="R10" sqref="R10"/>
    </sheetView>
  </sheetViews>
  <sheetFormatPr defaultColWidth="10.90625" defaultRowHeight="14.5" x14ac:dyDescent="0.35"/>
  <cols>
    <col min="1" max="1" width="8.26953125" customWidth="1"/>
    <col min="2" max="3" width="7.7265625" customWidth="1"/>
    <col min="4" max="4" width="8" customWidth="1"/>
    <col min="5" max="5" width="7.81640625" customWidth="1"/>
    <col min="6" max="9" width="7.7265625" customWidth="1"/>
    <col min="10" max="10" width="10.7265625" customWidth="1"/>
    <col min="11" max="13" width="7.7265625" customWidth="1"/>
    <col min="15" max="15" width="6.1796875" bestFit="1" customWidth="1"/>
    <col min="16" max="16" width="4.54296875" customWidth="1"/>
  </cols>
  <sheetData>
    <row r="1" spans="1:17" s="4" customFormat="1" ht="16" thickBot="1" x14ac:dyDescent="0.4">
      <c r="A1" s="1" t="s">
        <v>0</v>
      </c>
      <c r="B1" s="2"/>
      <c r="C1" s="2"/>
      <c r="D1" s="2"/>
      <c r="E1" s="2"/>
      <c r="F1" s="3"/>
      <c r="I1" s="4" t="s">
        <v>1</v>
      </c>
    </row>
    <row r="2" spans="1:17" s="4" customFormat="1" ht="15.5" x14ac:dyDescent="0.35">
      <c r="A2" s="5" t="s">
        <v>2</v>
      </c>
      <c r="B2" s="6"/>
      <c r="C2" s="6"/>
      <c r="D2" s="6"/>
      <c r="E2" s="6"/>
      <c r="F2" s="7"/>
      <c r="I2" s="1" t="s">
        <v>3</v>
      </c>
      <c r="J2" s="2"/>
      <c r="K2" s="2"/>
      <c r="L2" s="2"/>
      <c r="M2" s="8"/>
    </row>
    <row r="3" spans="1:17" s="4" customFormat="1" ht="15.5" x14ac:dyDescent="0.35">
      <c r="A3" s="5" t="s">
        <v>4</v>
      </c>
      <c r="B3" s="6"/>
      <c r="C3" s="6"/>
      <c r="D3" s="6"/>
      <c r="E3" s="6"/>
      <c r="F3" s="7"/>
      <c r="I3" s="5" t="s">
        <v>61</v>
      </c>
      <c r="J3" s="6"/>
      <c r="K3" s="6"/>
      <c r="L3" s="9"/>
      <c r="M3" s="10"/>
    </row>
    <row r="4" spans="1:17" s="4" customFormat="1" ht="24" thickBot="1" x14ac:dyDescent="0.4">
      <c r="A4" s="11" t="s">
        <v>6</v>
      </c>
      <c r="B4" s="12"/>
      <c r="C4" s="12"/>
      <c r="D4" s="12"/>
      <c r="E4" s="12"/>
      <c r="F4" s="13"/>
      <c r="I4" s="11" t="s">
        <v>7</v>
      </c>
      <c r="J4" s="12"/>
      <c r="K4" s="12"/>
      <c r="L4" s="14" t="s">
        <v>8</v>
      </c>
      <c r="M4" s="15"/>
      <c r="Q4" s="672"/>
    </row>
    <row r="5" spans="1:17" s="4" customFormat="1" ht="26" thickBot="1" x14ac:dyDescent="0.65">
      <c r="A5" s="16" t="s">
        <v>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7" s="4" customFormat="1" ht="15.75" customHeight="1" x14ac:dyDescent="0.35">
      <c r="A6" s="909" t="s">
        <v>10</v>
      </c>
      <c r="B6" s="912" t="s">
        <v>11</v>
      </c>
      <c r="C6" s="913"/>
      <c r="D6" s="913"/>
      <c r="E6" s="914"/>
      <c r="F6" s="18" t="s">
        <v>12</v>
      </c>
      <c r="G6" s="912" t="s">
        <v>13</v>
      </c>
      <c r="H6" s="913"/>
      <c r="I6" s="914"/>
      <c r="J6" s="19" t="s">
        <v>14</v>
      </c>
      <c r="K6" s="912" t="s">
        <v>15</v>
      </c>
      <c r="L6" s="914"/>
      <c r="M6" s="20" t="s">
        <v>16</v>
      </c>
    </row>
    <row r="7" spans="1:17" s="4" customFormat="1" ht="15.75" customHeight="1" thickBot="1" x14ac:dyDescent="0.4">
      <c r="A7" s="910"/>
      <c r="B7" s="21" t="s">
        <v>17</v>
      </c>
      <c r="C7" s="22" t="s">
        <v>18</v>
      </c>
      <c r="D7" s="22" t="s">
        <v>19</v>
      </c>
      <c r="E7" s="23" t="s">
        <v>18</v>
      </c>
      <c r="F7" s="24" t="s">
        <v>20</v>
      </c>
      <c r="G7" s="24" t="s">
        <v>21</v>
      </c>
      <c r="H7" s="25"/>
      <c r="I7" s="26"/>
      <c r="J7" s="26" t="s">
        <v>22</v>
      </c>
      <c r="K7" s="24" t="s">
        <v>23</v>
      </c>
      <c r="L7" s="26"/>
      <c r="M7" s="27" t="s">
        <v>24</v>
      </c>
    </row>
    <row r="8" spans="1:17" s="4" customFormat="1" ht="15.75" customHeight="1" thickBot="1" x14ac:dyDescent="0.4">
      <c r="A8" s="911"/>
      <c r="B8" s="28" t="s">
        <v>25</v>
      </c>
      <c r="C8" s="29" t="s">
        <v>25</v>
      </c>
      <c r="D8" s="29"/>
      <c r="E8" s="30" t="s">
        <v>26</v>
      </c>
      <c r="F8" s="31" t="s">
        <v>27</v>
      </c>
      <c r="G8" s="32" t="s">
        <v>28</v>
      </c>
      <c r="H8" s="33" t="s">
        <v>29</v>
      </c>
      <c r="I8" s="34" t="s">
        <v>30</v>
      </c>
      <c r="J8" s="35" t="s">
        <v>31</v>
      </c>
      <c r="K8" s="36" t="s">
        <v>32</v>
      </c>
      <c r="L8" s="30" t="s">
        <v>33</v>
      </c>
      <c r="M8" s="673" t="s">
        <v>34</v>
      </c>
    </row>
    <row r="9" spans="1:17" s="4" customFormat="1" ht="18" customHeight="1" x14ac:dyDescent="0.35">
      <c r="A9" s="222">
        <v>1</v>
      </c>
      <c r="B9" s="60">
        <v>14</v>
      </c>
      <c r="C9" s="60">
        <v>5.6</v>
      </c>
      <c r="D9" s="41">
        <f t="shared" ref="D9:D18" si="0">(B9+C9)/2</f>
        <v>9.8000000000000007</v>
      </c>
      <c r="E9" s="42">
        <v>2</v>
      </c>
      <c r="F9" s="151"/>
      <c r="G9" s="674">
        <v>97</v>
      </c>
      <c r="H9" s="45">
        <v>80</v>
      </c>
      <c r="I9" s="152">
        <v>95</v>
      </c>
      <c r="J9" s="47">
        <v>1</v>
      </c>
      <c r="K9" s="48">
        <v>1.9</v>
      </c>
      <c r="L9" s="222">
        <v>3</v>
      </c>
      <c r="M9" s="675"/>
    </row>
    <row r="10" spans="1:17" s="4" customFormat="1" ht="18" customHeight="1" x14ac:dyDescent="0.35">
      <c r="A10" s="50">
        <v>2</v>
      </c>
      <c r="B10" s="51">
        <v>15.6</v>
      </c>
      <c r="C10" s="52">
        <v>6</v>
      </c>
      <c r="D10" s="41">
        <f t="shared" si="0"/>
        <v>10.8</v>
      </c>
      <c r="E10" s="53">
        <v>3.8</v>
      </c>
      <c r="F10" s="151">
        <v>3</v>
      </c>
      <c r="G10" s="82">
        <v>86</v>
      </c>
      <c r="H10" s="57">
        <v>71</v>
      </c>
      <c r="I10" s="57">
        <v>83</v>
      </c>
      <c r="J10" s="58">
        <v>0.75</v>
      </c>
      <c r="K10" s="59">
        <v>1.3</v>
      </c>
      <c r="L10" s="50">
        <v>2</v>
      </c>
      <c r="M10" s="157"/>
    </row>
    <row r="11" spans="1:17" s="4" customFormat="1" ht="18" customHeight="1" x14ac:dyDescent="0.35">
      <c r="A11" s="50">
        <v>3</v>
      </c>
      <c r="B11" s="60">
        <v>14.6</v>
      </c>
      <c r="C11" s="60">
        <v>3</v>
      </c>
      <c r="D11" s="41">
        <f t="shared" si="0"/>
        <v>8.8000000000000007</v>
      </c>
      <c r="E11" s="53">
        <v>2.2000000000000002</v>
      </c>
      <c r="F11" s="151"/>
      <c r="G11" s="82">
        <v>89</v>
      </c>
      <c r="H11" s="56">
        <v>69</v>
      </c>
      <c r="I11" s="62">
        <v>86</v>
      </c>
      <c r="J11" s="58">
        <v>1.45</v>
      </c>
      <c r="K11" s="59">
        <v>2</v>
      </c>
      <c r="L11" s="50">
        <v>3</v>
      </c>
      <c r="M11" s="157"/>
    </row>
    <row r="12" spans="1:17" s="4" customFormat="1" ht="18" customHeight="1" x14ac:dyDescent="0.35">
      <c r="A12" s="50">
        <v>4</v>
      </c>
      <c r="B12" s="51">
        <v>18</v>
      </c>
      <c r="C12" s="60">
        <v>5</v>
      </c>
      <c r="D12" s="41">
        <f t="shared" si="0"/>
        <v>11.5</v>
      </c>
      <c r="E12" s="61">
        <v>3.6</v>
      </c>
      <c r="F12" s="151"/>
      <c r="G12" s="82">
        <v>85</v>
      </c>
      <c r="H12" s="57">
        <v>42</v>
      </c>
      <c r="I12" s="57">
        <v>83</v>
      </c>
      <c r="J12" s="58">
        <v>1.26</v>
      </c>
      <c r="K12" s="59">
        <v>1.8</v>
      </c>
      <c r="L12" s="50">
        <v>3</v>
      </c>
      <c r="M12" s="157"/>
    </row>
    <row r="13" spans="1:17" s="4" customFormat="1" ht="18" customHeight="1" x14ac:dyDescent="0.35">
      <c r="A13" s="50">
        <v>5</v>
      </c>
      <c r="B13" s="51">
        <v>15.2</v>
      </c>
      <c r="C13" s="52">
        <v>5.2</v>
      </c>
      <c r="D13" s="41">
        <f t="shared" si="0"/>
        <v>10.199999999999999</v>
      </c>
      <c r="E13" s="61">
        <v>3.8</v>
      </c>
      <c r="F13" s="151"/>
      <c r="G13" s="82">
        <v>85</v>
      </c>
      <c r="H13" s="57">
        <v>79</v>
      </c>
      <c r="I13" s="81">
        <v>84</v>
      </c>
      <c r="J13" s="58">
        <v>1.27</v>
      </c>
      <c r="K13" s="59">
        <v>2.2000000000000002</v>
      </c>
      <c r="L13" s="50">
        <v>3.5</v>
      </c>
      <c r="M13" s="157"/>
    </row>
    <row r="14" spans="1:17" s="4" customFormat="1" ht="18" customHeight="1" x14ac:dyDescent="0.35">
      <c r="A14" s="50">
        <v>6</v>
      </c>
      <c r="B14" s="51">
        <v>16.600000000000001</v>
      </c>
      <c r="C14" s="52">
        <v>5</v>
      </c>
      <c r="D14" s="41">
        <f t="shared" si="0"/>
        <v>10.8</v>
      </c>
      <c r="E14" s="61">
        <v>3</v>
      </c>
      <c r="F14" s="151">
        <v>1.4</v>
      </c>
      <c r="G14" s="82">
        <v>90</v>
      </c>
      <c r="H14" s="57">
        <v>64</v>
      </c>
      <c r="I14" s="62">
        <v>87</v>
      </c>
      <c r="J14" s="58">
        <v>2.04</v>
      </c>
      <c r="K14" s="59">
        <v>1.9</v>
      </c>
      <c r="L14" s="50">
        <v>3</v>
      </c>
      <c r="M14" s="157"/>
    </row>
    <row r="15" spans="1:17" s="4" customFormat="1" ht="18" customHeight="1" x14ac:dyDescent="0.35">
      <c r="A15" s="50">
        <v>7</v>
      </c>
      <c r="B15" s="60">
        <v>15.6</v>
      </c>
      <c r="C15" s="52">
        <v>8</v>
      </c>
      <c r="D15" s="41">
        <f t="shared" si="0"/>
        <v>11.8</v>
      </c>
      <c r="E15" s="61">
        <v>5.4</v>
      </c>
      <c r="F15" s="151"/>
      <c r="G15" s="82">
        <v>90</v>
      </c>
      <c r="H15" s="56">
        <v>80</v>
      </c>
      <c r="I15" s="62">
        <v>87</v>
      </c>
      <c r="J15" s="58">
        <v>1.31</v>
      </c>
      <c r="K15" s="59">
        <v>2.2000000000000002</v>
      </c>
      <c r="L15" s="50">
        <v>3.5</v>
      </c>
      <c r="M15" s="157"/>
    </row>
    <row r="16" spans="1:17" s="4" customFormat="1" ht="18" customHeight="1" x14ac:dyDescent="0.35">
      <c r="A16" s="50">
        <v>8</v>
      </c>
      <c r="B16" s="51">
        <v>18.2</v>
      </c>
      <c r="C16" s="52">
        <v>3</v>
      </c>
      <c r="D16" s="41">
        <f t="shared" si="0"/>
        <v>10.6</v>
      </c>
      <c r="E16" s="61">
        <v>2</v>
      </c>
      <c r="F16" s="151"/>
      <c r="G16" s="82">
        <v>88</v>
      </c>
      <c r="H16" s="57">
        <v>68</v>
      </c>
      <c r="I16" s="62">
        <v>86</v>
      </c>
      <c r="J16" s="58">
        <v>1.45</v>
      </c>
      <c r="K16" s="59">
        <v>2.1</v>
      </c>
      <c r="L16" s="50">
        <v>3.5</v>
      </c>
      <c r="M16" s="157"/>
    </row>
    <row r="17" spans="1:13" s="4" customFormat="1" ht="15.75" customHeight="1" x14ac:dyDescent="0.35">
      <c r="A17" s="50">
        <v>9</v>
      </c>
      <c r="B17" s="51">
        <v>18</v>
      </c>
      <c r="C17" s="52">
        <v>5</v>
      </c>
      <c r="D17" s="41">
        <f t="shared" si="0"/>
        <v>11.5</v>
      </c>
      <c r="E17" s="61">
        <v>3.2</v>
      </c>
      <c r="F17" s="151"/>
      <c r="G17" s="82">
        <v>88</v>
      </c>
      <c r="H17" s="57">
        <v>76</v>
      </c>
      <c r="I17" s="62">
        <v>86</v>
      </c>
      <c r="J17" s="58">
        <v>1.59</v>
      </c>
      <c r="K17" s="59">
        <v>1.8</v>
      </c>
      <c r="L17" s="50">
        <v>3</v>
      </c>
      <c r="M17" s="157"/>
    </row>
    <row r="18" spans="1:13" s="4" customFormat="1" ht="15.75" customHeight="1" thickBot="1" x14ac:dyDescent="0.4">
      <c r="A18" s="63">
        <v>10</v>
      </c>
      <c r="B18" s="51">
        <v>18.8</v>
      </c>
      <c r="C18" s="60">
        <v>6</v>
      </c>
      <c r="D18" s="41">
        <f t="shared" si="0"/>
        <v>12.4</v>
      </c>
      <c r="E18" s="53">
        <v>4.2</v>
      </c>
      <c r="F18" s="151"/>
      <c r="G18" s="676">
        <v>90</v>
      </c>
      <c r="H18" s="100">
        <v>63</v>
      </c>
      <c r="I18" s="677">
        <v>88</v>
      </c>
      <c r="J18" s="58">
        <v>1.57</v>
      </c>
      <c r="K18" s="59">
        <v>2.2000000000000002</v>
      </c>
      <c r="L18" s="50">
        <v>3.5</v>
      </c>
      <c r="M18" s="157"/>
    </row>
    <row r="19" spans="1:13" s="4" customFormat="1" ht="15.75" customHeight="1" thickBot="1" x14ac:dyDescent="0.4">
      <c r="A19" s="68" t="s">
        <v>35</v>
      </c>
      <c r="B19" s="69">
        <f t="shared" ref="B19:M19" si="1">SUM(B9:B18)</f>
        <v>164.60000000000002</v>
      </c>
      <c r="C19" s="70">
        <f t="shared" si="1"/>
        <v>51.8</v>
      </c>
      <c r="D19" s="70">
        <f t="shared" si="1"/>
        <v>108.2</v>
      </c>
      <c r="E19" s="71">
        <f t="shared" si="1"/>
        <v>33.199999999999996</v>
      </c>
      <c r="F19" s="69">
        <f t="shared" si="1"/>
        <v>4.4000000000000004</v>
      </c>
      <c r="G19" s="72">
        <f t="shared" si="1"/>
        <v>888</v>
      </c>
      <c r="H19" s="73">
        <f t="shared" si="1"/>
        <v>692</v>
      </c>
      <c r="I19" s="74">
        <f t="shared" si="1"/>
        <v>865</v>
      </c>
      <c r="J19" s="75">
        <f t="shared" si="1"/>
        <v>13.69</v>
      </c>
      <c r="K19" s="76">
        <f t="shared" si="1"/>
        <v>19.399999999999999</v>
      </c>
      <c r="L19" s="76">
        <f t="shared" si="1"/>
        <v>31</v>
      </c>
      <c r="M19" s="77">
        <f t="shared" si="1"/>
        <v>0</v>
      </c>
    </row>
    <row r="20" spans="1:13" s="4" customFormat="1" ht="15.75" customHeight="1" x14ac:dyDescent="0.35">
      <c r="A20" s="38">
        <v>11</v>
      </c>
      <c r="B20" s="51">
        <v>19</v>
      </c>
      <c r="C20" s="60">
        <v>7</v>
      </c>
      <c r="D20" s="41">
        <f t="shared" ref="D20:D29" si="2">(B20+C20)/2</f>
        <v>13</v>
      </c>
      <c r="E20" s="53">
        <v>4.8</v>
      </c>
      <c r="F20" s="151"/>
      <c r="G20" s="82">
        <v>88</v>
      </c>
      <c r="H20" s="57">
        <v>54</v>
      </c>
      <c r="I20" s="57">
        <v>84</v>
      </c>
      <c r="J20" s="58">
        <v>1.1399999999999999</v>
      </c>
      <c r="K20" s="59">
        <v>1.6</v>
      </c>
      <c r="L20" s="50">
        <v>2.5</v>
      </c>
      <c r="M20" s="157"/>
    </row>
    <row r="21" spans="1:13" s="4" customFormat="1" ht="15.75" customHeight="1" x14ac:dyDescent="0.35">
      <c r="A21" s="50">
        <v>12</v>
      </c>
      <c r="B21" s="51">
        <v>19.2</v>
      </c>
      <c r="C21" s="52">
        <v>3.8</v>
      </c>
      <c r="D21" s="41">
        <f t="shared" si="2"/>
        <v>11.5</v>
      </c>
      <c r="E21" s="61">
        <v>2.2000000000000002</v>
      </c>
      <c r="F21" s="151"/>
      <c r="G21" s="82">
        <v>91</v>
      </c>
      <c r="H21" s="57">
        <v>68</v>
      </c>
      <c r="I21" s="57">
        <v>88</v>
      </c>
      <c r="J21" s="58">
        <v>1.03</v>
      </c>
      <c r="K21" s="48">
        <v>1.4</v>
      </c>
      <c r="L21" s="50">
        <v>2</v>
      </c>
      <c r="M21" s="157"/>
    </row>
    <row r="22" spans="1:13" s="4" customFormat="1" ht="15.75" customHeight="1" x14ac:dyDescent="0.35">
      <c r="A22" s="50">
        <v>13</v>
      </c>
      <c r="B22" s="51">
        <v>15.4</v>
      </c>
      <c r="C22" s="52">
        <v>3.6</v>
      </c>
      <c r="D22" s="41">
        <f t="shared" si="2"/>
        <v>9.5</v>
      </c>
      <c r="E22" s="61">
        <v>2.4</v>
      </c>
      <c r="F22" s="151">
        <v>1.3</v>
      </c>
      <c r="G22" s="82">
        <v>91</v>
      </c>
      <c r="H22" s="57">
        <v>69</v>
      </c>
      <c r="I22" s="57">
        <v>96</v>
      </c>
      <c r="J22" s="58">
        <v>1.23</v>
      </c>
      <c r="K22" s="48">
        <v>2.1</v>
      </c>
      <c r="L22" s="50">
        <v>3.5</v>
      </c>
      <c r="M22" s="157"/>
    </row>
    <row r="23" spans="1:13" s="4" customFormat="1" ht="15.75" customHeight="1" x14ac:dyDescent="0.35">
      <c r="A23" s="50">
        <v>14</v>
      </c>
      <c r="B23" s="51">
        <v>16.8</v>
      </c>
      <c r="C23" s="52">
        <v>3</v>
      </c>
      <c r="D23" s="41">
        <f t="shared" si="2"/>
        <v>9.9</v>
      </c>
      <c r="E23" s="61">
        <v>1.8</v>
      </c>
      <c r="F23" s="151"/>
      <c r="G23" s="82">
        <v>88</v>
      </c>
      <c r="H23" s="57">
        <v>71</v>
      </c>
      <c r="I23" s="57">
        <v>84</v>
      </c>
      <c r="J23" s="58">
        <v>1.23</v>
      </c>
      <c r="K23" s="48">
        <v>1.9</v>
      </c>
      <c r="L23" s="50">
        <v>3</v>
      </c>
      <c r="M23" s="157"/>
    </row>
    <row r="24" spans="1:13" s="4" customFormat="1" ht="15.75" customHeight="1" x14ac:dyDescent="0.35">
      <c r="A24" s="50">
        <v>15</v>
      </c>
      <c r="B24" s="51">
        <v>16.399999999999999</v>
      </c>
      <c r="C24" s="52">
        <v>1.6</v>
      </c>
      <c r="D24" s="41">
        <f t="shared" si="2"/>
        <v>9</v>
      </c>
      <c r="E24" s="61">
        <v>0</v>
      </c>
      <c r="F24" s="151"/>
      <c r="G24" s="82">
        <v>89</v>
      </c>
      <c r="H24" s="57">
        <v>79</v>
      </c>
      <c r="I24" s="57">
        <v>85</v>
      </c>
      <c r="J24" s="58">
        <v>1.37</v>
      </c>
      <c r="K24" s="48">
        <v>2.2000000000000002</v>
      </c>
      <c r="L24" s="50">
        <v>3.5</v>
      </c>
      <c r="M24" s="157"/>
    </row>
    <row r="25" spans="1:13" s="4" customFormat="1" ht="15.75" customHeight="1" x14ac:dyDescent="0.35">
      <c r="A25" s="50">
        <v>16</v>
      </c>
      <c r="B25" s="51">
        <v>15.6</v>
      </c>
      <c r="C25" s="52">
        <v>2</v>
      </c>
      <c r="D25" s="41">
        <f t="shared" si="2"/>
        <v>8.8000000000000007</v>
      </c>
      <c r="E25" s="61">
        <v>1</v>
      </c>
      <c r="F25" s="151">
        <v>6</v>
      </c>
      <c r="G25" s="82">
        <v>86</v>
      </c>
      <c r="H25" s="57">
        <v>86</v>
      </c>
      <c r="I25" s="57">
        <v>84</v>
      </c>
      <c r="J25" s="58">
        <v>0.94</v>
      </c>
      <c r="K25" s="48">
        <v>1.6</v>
      </c>
      <c r="L25" s="50">
        <v>2.5</v>
      </c>
      <c r="M25" s="157"/>
    </row>
    <row r="26" spans="1:13" s="4" customFormat="1" ht="15.75" customHeight="1" x14ac:dyDescent="0.35">
      <c r="A26" s="82">
        <v>17</v>
      </c>
      <c r="B26" s="51">
        <v>14</v>
      </c>
      <c r="C26" s="60">
        <v>3.4</v>
      </c>
      <c r="D26" s="41">
        <f t="shared" si="2"/>
        <v>8.6999999999999993</v>
      </c>
      <c r="E26" s="61">
        <v>1.4</v>
      </c>
      <c r="F26" s="151">
        <v>6</v>
      </c>
      <c r="G26" s="82">
        <v>87</v>
      </c>
      <c r="H26" s="57">
        <v>83</v>
      </c>
      <c r="I26" s="57">
        <v>83</v>
      </c>
      <c r="J26" s="58">
        <v>1.31</v>
      </c>
      <c r="K26" s="48">
        <v>2.4</v>
      </c>
      <c r="L26" s="50">
        <v>4</v>
      </c>
      <c r="M26" s="157"/>
    </row>
    <row r="27" spans="1:13" s="4" customFormat="1" ht="15.75" customHeight="1" x14ac:dyDescent="0.35">
      <c r="A27" s="82">
        <v>18</v>
      </c>
      <c r="B27" s="51">
        <v>13.2</v>
      </c>
      <c r="C27" s="60">
        <v>3</v>
      </c>
      <c r="D27" s="41">
        <f t="shared" si="2"/>
        <v>8.1</v>
      </c>
      <c r="E27" s="53">
        <v>1.8</v>
      </c>
      <c r="F27" s="151"/>
      <c r="G27" s="82">
        <v>90</v>
      </c>
      <c r="H27" s="57">
        <v>80</v>
      </c>
      <c r="I27" s="57">
        <v>86</v>
      </c>
      <c r="J27" s="58">
        <v>0.67</v>
      </c>
      <c r="K27" s="48">
        <v>1.3</v>
      </c>
      <c r="L27" s="50">
        <v>2</v>
      </c>
      <c r="M27" s="157"/>
    </row>
    <row r="28" spans="1:13" s="4" customFormat="1" ht="15.75" customHeight="1" x14ac:dyDescent="0.35">
      <c r="A28" s="82">
        <v>19</v>
      </c>
      <c r="B28" s="51">
        <v>12.6</v>
      </c>
      <c r="C28" s="60">
        <v>2.2000000000000002</v>
      </c>
      <c r="D28" s="41">
        <f t="shared" si="2"/>
        <v>7.4</v>
      </c>
      <c r="E28" s="61">
        <v>1</v>
      </c>
      <c r="F28" s="151"/>
      <c r="G28" s="82">
        <v>94</v>
      </c>
      <c r="H28" s="57">
        <v>98</v>
      </c>
      <c r="I28" s="57">
        <v>91</v>
      </c>
      <c r="J28" s="58">
        <v>0.62</v>
      </c>
      <c r="K28" s="48">
        <v>1.3</v>
      </c>
      <c r="L28" s="50">
        <v>2</v>
      </c>
      <c r="M28" s="157"/>
    </row>
    <row r="29" spans="1:13" s="4" customFormat="1" ht="15.75" customHeight="1" thickBot="1" x14ac:dyDescent="0.4">
      <c r="A29" s="83">
        <v>20</v>
      </c>
      <c r="B29" s="51">
        <v>12.8</v>
      </c>
      <c r="C29" s="60">
        <v>6.4</v>
      </c>
      <c r="D29" s="41">
        <f t="shared" si="2"/>
        <v>9.6000000000000014</v>
      </c>
      <c r="E29" s="61">
        <v>3.8</v>
      </c>
      <c r="F29" s="151"/>
      <c r="G29" s="82">
        <v>87</v>
      </c>
      <c r="H29" s="57">
        <v>84</v>
      </c>
      <c r="I29" s="57">
        <v>84</v>
      </c>
      <c r="J29" s="58">
        <v>0.85</v>
      </c>
      <c r="K29" s="48">
        <v>1.7</v>
      </c>
      <c r="L29" s="50">
        <v>3</v>
      </c>
      <c r="M29" s="157"/>
    </row>
    <row r="30" spans="1:13" s="4" customFormat="1" ht="15.75" customHeight="1" thickBot="1" x14ac:dyDescent="0.4">
      <c r="A30" s="85" t="s">
        <v>35</v>
      </c>
      <c r="B30" s="86">
        <f>SUM(B20:B29)</f>
        <v>155</v>
      </c>
      <c r="C30" s="70">
        <f>SUM(C20:C29)</f>
        <v>36</v>
      </c>
      <c r="D30" s="70">
        <f>SUM(D20:D29)</f>
        <v>95.5</v>
      </c>
      <c r="E30" s="87">
        <f>SUM(E20:E29)</f>
        <v>20.200000000000003</v>
      </c>
      <c r="F30" s="88">
        <f>SUM(F20:F29)</f>
        <v>13.3</v>
      </c>
      <c r="G30" s="72">
        <f t="shared" ref="G30:M30" si="3">SUM(G20:G29)</f>
        <v>891</v>
      </c>
      <c r="H30" s="73">
        <f t="shared" si="3"/>
        <v>772</v>
      </c>
      <c r="I30" s="74">
        <f t="shared" si="3"/>
        <v>865</v>
      </c>
      <c r="J30" s="89">
        <f t="shared" si="3"/>
        <v>10.389999999999999</v>
      </c>
      <c r="K30" s="86">
        <f t="shared" si="3"/>
        <v>17.5</v>
      </c>
      <c r="L30" s="87">
        <f t="shared" si="3"/>
        <v>28</v>
      </c>
      <c r="M30" s="90">
        <f t="shared" si="3"/>
        <v>0</v>
      </c>
    </row>
    <row r="31" spans="1:13" s="4" customFormat="1" ht="15.75" customHeight="1" x14ac:dyDescent="0.35">
      <c r="A31" s="91">
        <v>21</v>
      </c>
      <c r="B31" s="51">
        <v>18</v>
      </c>
      <c r="C31" s="60">
        <v>5</v>
      </c>
      <c r="D31" s="41">
        <f t="shared" ref="D31:D41" si="4">(B31+C31)/2</f>
        <v>11.5</v>
      </c>
      <c r="E31" s="61">
        <v>3.4</v>
      </c>
      <c r="F31" s="151"/>
      <c r="G31" s="82">
        <v>86</v>
      </c>
      <c r="H31" s="57">
        <v>64</v>
      </c>
      <c r="I31" s="57">
        <v>82</v>
      </c>
      <c r="J31" s="58">
        <v>0.92</v>
      </c>
      <c r="K31" s="48">
        <v>1.3</v>
      </c>
      <c r="L31" s="50">
        <v>2</v>
      </c>
      <c r="M31" s="157"/>
    </row>
    <row r="32" spans="1:13" s="4" customFormat="1" ht="15.75" customHeight="1" x14ac:dyDescent="0.35">
      <c r="A32" s="82">
        <v>22</v>
      </c>
      <c r="B32" s="51">
        <v>17.2</v>
      </c>
      <c r="C32" s="60">
        <v>5.4</v>
      </c>
      <c r="D32" s="41">
        <f t="shared" si="4"/>
        <v>11.3</v>
      </c>
      <c r="E32" s="53">
        <v>3.6</v>
      </c>
      <c r="F32" s="151"/>
      <c r="G32" s="91">
        <v>88</v>
      </c>
      <c r="H32" s="57">
        <v>70</v>
      </c>
      <c r="I32" s="62">
        <v>84</v>
      </c>
      <c r="J32" s="58">
        <v>0.96</v>
      </c>
      <c r="K32" s="48">
        <v>1.5</v>
      </c>
      <c r="L32" s="50">
        <v>2.5</v>
      </c>
      <c r="M32" s="157"/>
    </row>
    <row r="33" spans="1:13" s="4" customFormat="1" ht="15.75" customHeight="1" x14ac:dyDescent="0.35">
      <c r="A33" s="82">
        <v>23</v>
      </c>
      <c r="B33" s="51">
        <v>19.399999999999999</v>
      </c>
      <c r="C33" s="60">
        <v>4.5999999999999996</v>
      </c>
      <c r="D33" s="41">
        <f t="shared" si="4"/>
        <v>12</v>
      </c>
      <c r="E33" s="61">
        <v>2.8</v>
      </c>
      <c r="F33" s="151"/>
      <c r="G33" s="91">
        <v>88</v>
      </c>
      <c r="H33" s="57">
        <v>63</v>
      </c>
      <c r="I33" s="62">
        <v>82</v>
      </c>
      <c r="J33" s="58">
        <v>1.1399999999999999</v>
      </c>
      <c r="K33" s="48">
        <v>1.7</v>
      </c>
      <c r="L33" s="50">
        <v>3</v>
      </c>
      <c r="M33" s="157"/>
    </row>
    <row r="34" spans="1:13" s="4" customFormat="1" ht="15.75" customHeight="1" x14ac:dyDescent="0.35">
      <c r="A34" s="82">
        <v>24</v>
      </c>
      <c r="B34" s="51">
        <v>20.399999999999999</v>
      </c>
      <c r="C34" s="60">
        <v>4.2</v>
      </c>
      <c r="D34" s="41">
        <f t="shared" si="4"/>
        <v>12.299999999999999</v>
      </c>
      <c r="E34" s="61">
        <v>2</v>
      </c>
      <c r="F34" s="151"/>
      <c r="G34" s="91">
        <v>87</v>
      </c>
      <c r="H34" s="57">
        <v>54</v>
      </c>
      <c r="I34" s="62">
        <v>82</v>
      </c>
      <c r="J34" s="58">
        <v>1.1100000000000001</v>
      </c>
      <c r="K34" s="48">
        <v>1.4</v>
      </c>
      <c r="L34" s="50">
        <v>2.5</v>
      </c>
      <c r="M34" s="157"/>
    </row>
    <row r="35" spans="1:13" s="4" customFormat="1" ht="15.75" customHeight="1" x14ac:dyDescent="0.35">
      <c r="A35" s="82">
        <v>25</v>
      </c>
      <c r="B35" s="60">
        <v>17.2</v>
      </c>
      <c r="C35" s="60">
        <v>4</v>
      </c>
      <c r="D35" s="41">
        <f t="shared" si="4"/>
        <v>10.6</v>
      </c>
      <c r="E35" s="53">
        <v>2</v>
      </c>
      <c r="F35" s="151"/>
      <c r="G35" s="91">
        <v>90</v>
      </c>
      <c r="H35" s="56">
        <v>74</v>
      </c>
      <c r="I35" s="62">
        <v>88</v>
      </c>
      <c r="J35" s="58">
        <v>2.38</v>
      </c>
      <c r="K35" s="48">
        <v>2.8</v>
      </c>
      <c r="L35" s="50">
        <v>4.5</v>
      </c>
      <c r="M35" s="157"/>
    </row>
    <row r="36" spans="1:13" s="4" customFormat="1" ht="15.75" customHeight="1" x14ac:dyDescent="0.35">
      <c r="A36" s="82">
        <v>26</v>
      </c>
      <c r="B36" s="60">
        <v>16</v>
      </c>
      <c r="C36" s="60">
        <v>5</v>
      </c>
      <c r="D36" s="41">
        <f t="shared" si="4"/>
        <v>10.5</v>
      </c>
      <c r="E36" s="53">
        <v>3.6</v>
      </c>
      <c r="F36" s="151"/>
      <c r="G36" s="678">
        <v>97</v>
      </c>
      <c r="H36" s="56">
        <v>76</v>
      </c>
      <c r="I36" s="62">
        <v>85</v>
      </c>
      <c r="J36" s="58">
        <v>1.51</v>
      </c>
      <c r="K36" s="48">
        <v>2.5</v>
      </c>
      <c r="L36" s="50">
        <v>4</v>
      </c>
      <c r="M36" s="157"/>
    </row>
    <row r="37" spans="1:13" s="4" customFormat="1" ht="15.75" customHeight="1" x14ac:dyDescent="0.35">
      <c r="A37" s="82">
        <v>27</v>
      </c>
      <c r="B37" s="51">
        <v>20.2</v>
      </c>
      <c r="C37" s="60">
        <v>12</v>
      </c>
      <c r="D37" s="41">
        <f t="shared" si="4"/>
        <v>16.100000000000001</v>
      </c>
      <c r="E37" s="53">
        <v>9.8000000000000007</v>
      </c>
      <c r="F37" s="151"/>
      <c r="G37" s="678">
        <v>86</v>
      </c>
      <c r="H37" s="57">
        <v>54</v>
      </c>
      <c r="I37" s="57">
        <v>84</v>
      </c>
      <c r="J37" s="58">
        <v>2.69</v>
      </c>
      <c r="K37" s="48">
        <v>3.5</v>
      </c>
      <c r="L37" s="50">
        <v>6</v>
      </c>
      <c r="M37" s="157"/>
    </row>
    <row r="38" spans="1:13" s="4" customFormat="1" ht="15.75" customHeight="1" x14ac:dyDescent="0.35">
      <c r="A38" s="82">
        <v>28</v>
      </c>
      <c r="B38" s="51">
        <v>17</v>
      </c>
      <c r="C38" s="60">
        <v>8.1999999999999993</v>
      </c>
      <c r="D38" s="41">
        <f t="shared" si="4"/>
        <v>12.6</v>
      </c>
      <c r="E38" s="53">
        <v>6</v>
      </c>
      <c r="F38" s="151"/>
      <c r="G38" s="678">
        <v>90</v>
      </c>
      <c r="H38" s="57">
        <v>64</v>
      </c>
      <c r="I38" s="57">
        <v>85</v>
      </c>
      <c r="J38" s="58">
        <v>2.73</v>
      </c>
      <c r="K38" s="48">
        <v>4.2</v>
      </c>
      <c r="L38" s="50">
        <v>6.9</v>
      </c>
      <c r="M38" s="157"/>
    </row>
    <row r="39" spans="1:13" s="4" customFormat="1" ht="15.75" customHeight="1" x14ac:dyDescent="0.35">
      <c r="A39" s="82">
        <v>29</v>
      </c>
      <c r="B39" s="51">
        <v>16.600000000000001</v>
      </c>
      <c r="C39" s="60">
        <v>6</v>
      </c>
      <c r="D39" s="41">
        <f t="shared" si="4"/>
        <v>11.3</v>
      </c>
      <c r="E39" s="53">
        <v>4.4000000000000004</v>
      </c>
      <c r="F39" s="151"/>
      <c r="G39" s="678">
        <v>88</v>
      </c>
      <c r="H39" s="57">
        <v>78</v>
      </c>
      <c r="I39" s="57">
        <v>85</v>
      </c>
      <c r="J39" s="58">
        <v>1.72</v>
      </c>
      <c r="K39" s="48">
        <v>2.7</v>
      </c>
      <c r="L39" s="50">
        <v>4.5</v>
      </c>
      <c r="M39" s="157"/>
    </row>
    <row r="40" spans="1:13" s="4" customFormat="1" ht="15.75" customHeight="1" x14ac:dyDescent="0.35">
      <c r="A40" s="82">
        <v>30</v>
      </c>
      <c r="B40" s="51">
        <v>14.2</v>
      </c>
      <c r="C40" s="95">
        <v>5.4</v>
      </c>
      <c r="D40" s="41">
        <f t="shared" si="4"/>
        <v>9.8000000000000007</v>
      </c>
      <c r="E40" s="53">
        <v>3.8</v>
      </c>
      <c r="F40" s="151">
        <v>0.5</v>
      </c>
      <c r="G40" s="678">
        <v>88</v>
      </c>
      <c r="H40" s="57">
        <v>69</v>
      </c>
      <c r="I40" s="57">
        <v>86</v>
      </c>
      <c r="J40" s="58">
        <v>2.38</v>
      </c>
      <c r="K40" s="48">
        <v>2.5</v>
      </c>
      <c r="L40" s="50">
        <v>4</v>
      </c>
      <c r="M40" s="157"/>
    </row>
    <row r="41" spans="1:13" s="4" customFormat="1" ht="15.75" customHeight="1" thickBot="1" x14ac:dyDescent="0.4">
      <c r="A41" s="83">
        <v>31</v>
      </c>
      <c r="B41" s="94">
        <v>14.6</v>
      </c>
      <c r="C41" s="95">
        <v>6.6</v>
      </c>
      <c r="D41" s="41">
        <f t="shared" si="4"/>
        <v>10.6</v>
      </c>
      <c r="E41" s="96">
        <v>4.2</v>
      </c>
      <c r="F41" s="679"/>
      <c r="G41" s="680">
        <v>88</v>
      </c>
      <c r="H41" s="100">
        <v>75</v>
      </c>
      <c r="I41" s="100">
        <v>84</v>
      </c>
      <c r="J41" s="101">
        <v>1.1200000000000001</v>
      </c>
      <c r="K41" s="232">
        <v>2</v>
      </c>
      <c r="L41" s="403">
        <v>3</v>
      </c>
      <c r="M41" s="157"/>
    </row>
    <row r="42" spans="1:13" s="4" customFormat="1" ht="15.75" customHeight="1" thickBot="1" x14ac:dyDescent="0.4">
      <c r="A42" s="85" t="s">
        <v>35</v>
      </c>
      <c r="B42" s="86">
        <f t="shared" ref="B42:M42" si="5">SUM(B31:B41)</f>
        <v>190.79999999999998</v>
      </c>
      <c r="C42" s="70">
        <f t="shared" si="5"/>
        <v>66.400000000000006</v>
      </c>
      <c r="D42" s="70">
        <f t="shared" si="5"/>
        <v>128.59999999999997</v>
      </c>
      <c r="E42" s="87">
        <f t="shared" si="5"/>
        <v>45.6</v>
      </c>
      <c r="F42" s="88">
        <f t="shared" si="5"/>
        <v>0.5</v>
      </c>
      <c r="G42" s="102">
        <f t="shared" si="5"/>
        <v>976</v>
      </c>
      <c r="H42" s="102">
        <f t="shared" si="5"/>
        <v>741</v>
      </c>
      <c r="I42" s="103">
        <f t="shared" si="5"/>
        <v>927</v>
      </c>
      <c r="J42" s="75">
        <f t="shared" si="5"/>
        <v>18.66</v>
      </c>
      <c r="K42" s="76">
        <f t="shared" si="5"/>
        <v>26.099999999999998</v>
      </c>
      <c r="L42" s="76">
        <f t="shared" si="5"/>
        <v>42.9</v>
      </c>
      <c r="M42" s="104">
        <f t="shared" si="5"/>
        <v>0</v>
      </c>
    </row>
    <row r="43" spans="1:13" s="4" customFormat="1" ht="15.75" customHeight="1" thickBot="1" x14ac:dyDescent="0.4">
      <c r="A43" s="105" t="s">
        <v>36</v>
      </c>
      <c r="B43" s="106">
        <f>B42+B30+B19</f>
        <v>510.4</v>
      </c>
      <c r="C43" s="107">
        <f t="shared" ref="C43:M43" si="6">C42+C30+C19</f>
        <v>154.19999999999999</v>
      </c>
      <c r="D43" s="107">
        <f t="shared" si="6"/>
        <v>332.29999999999995</v>
      </c>
      <c r="E43" s="108">
        <f t="shared" si="6"/>
        <v>99</v>
      </c>
      <c r="F43" s="109">
        <f t="shared" si="6"/>
        <v>18.200000000000003</v>
      </c>
      <c r="G43" s="110">
        <f t="shared" si="6"/>
        <v>2755</v>
      </c>
      <c r="H43" s="110">
        <f t="shared" si="6"/>
        <v>2205</v>
      </c>
      <c r="I43" s="111">
        <f t="shared" si="6"/>
        <v>2657</v>
      </c>
      <c r="J43" s="112">
        <f t="shared" si="6"/>
        <v>42.739999999999995</v>
      </c>
      <c r="K43" s="113">
        <f t="shared" si="6"/>
        <v>62.999999999999993</v>
      </c>
      <c r="L43" s="113">
        <f t="shared" si="6"/>
        <v>101.9</v>
      </c>
      <c r="M43" s="111">
        <f t="shared" si="6"/>
        <v>0</v>
      </c>
    </row>
    <row r="44" spans="1:13" s="4" customFormat="1" ht="15.75" customHeight="1" thickBot="1" x14ac:dyDescent="0.4">
      <c r="A44" s="114" t="s">
        <v>19</v>
      </c>
      <c r="B44" s="115">
        <f>B43/31</f>
        <v>16.464516129032258</v>
      </c>
      <c r="C44" s="116">
        <f t="shared" ref="C44:J44" si="7">C43/31</f>
        <v>4.9741935483870963</v>
      </c>
      <c r="D44" s="116">
        <f t="shared" si="7"/>
        <v>10.719354838709675</v>
      </c>
      <c r="E44" s="117">
        <f t="shared" si="7"/>
        <v>3.193548387096774</v>
      </c>
      <c r="F44" s="191" t="s">
        <v>62</v>
      </c>
      <c r="G44" s="115">
        <f t="shared" si="7"/>
        <v>88.870967741935488</v>
      </c>
      <c r="H44" s="115">
        <f t="shared" si="7"/>
        <v>71.129032258064512</v>
      </c>
      <c r="I44" s="115">
        <f t="shared" si="7"/>
        <v>85.709677419354833</v>
      </c>
      <c r="J44" s="681">
        <f t="shared" si="7"/>
        <v>1.3787096774193546</v>
      </c>
      <c r="K44" s="121"/>
      <c r="L44" s="122"/>
      <c r="M44" s="123"/>
    </row>
    <row r="45" spans="1:13" ht="16" thickBot="1" x14ac:dyDescent="0.4">
      <c r="A45" s="6"/>
      <c r="B45" s="124"/>
      <c r="C45" s="124"/>
      <c r="D45" s="124"/>
      <c r="E45" s="124"/>
      <c r="F45" s="125"/>
      <c r="G45" s="4"/>
      <c r="H45" s="126"/>
      <c r="I45" s="126"/>
      <c r="J45" s="127"/>
      <c r="K45" s="125"/>
      <c r="L45" s="125"/>
      <c r="M45" s="125"/>
    </row>
    <row r="46" spans="1:13" ht="16" thickBot="1" x14ac:dyDescent="0.4">
      <c r="A46" s="1" t="s">
        <v>0</v>
      </c>
      <c r="B46" s="2"/>
      <c r="C46" s="2"/>
      <c r="D46" s="2"/>
      <c r="E46" s="2"/>
      <c r="F46" s="3"/>
      <c r="G46" s="4"/>
      <c r="H46" s="126"/>
      <c r="I46" s="126"/>
      <c r="J46" s="127"/>
      <c r="K46" s="125"/>
      <c r="L46" s="125"/>
      <c r="M46" s="125"/>
    </row>
    <row r="47" spans="1:13" ht="15.5" x14ac:dyDescent="0.35">
      <c r="A47" s="5" t="s">
        <v>2</v>
      </c>
      <c r="B47" s="6"/>
      <c r="C47" s="6"/>
      <c r="D47" s="6"/>
      <c r="E47" s="6"/>
      <c r="F47" s="7"/>
      <c r="G47" s="4"/>
      <c r="H47" s="4"/>
      <c r="I47" s="1" t="s">
        <v>3</v>
      </c>
      <c r="J47" s="2"/>
      <c r="K47" s="2"/>
      <c r="L47" s="2"/>
      <c r="M47" s="8"/>
    </row>
    <row r="48" spans="1:13" ht="15.5" x14ac:dyDescent="0.35">
      <c r="A48" s="5" t="s">
        <v>4</v>
      </c>
      <c r="B48" s="6"/>
      <c r="C48" s="6"/>
      <c r="D48" s="6"/>
      <c r="E48" s="6"/>
      <c r="F48" s="7"/>
      <c r="G48" s="4"/>
      <c r="H48" s="4"/>
      <c r="I48" s="5" t="s">
        <v>61</v>
      </c>
      <c r="J48" s="6"/>
      <c r="K48" s="6"/>
      <c r="L48" s="9"/>
      <c r="M48" s="10"/>
    </row>
    <row r="49" spans="1:13" ht="16" thickBot="1" x14ac:dyDescent="0.4">
      <c r="A49" s="11" t="s">
        <v>6</v>
      </c>
      <c r="B49" s="12"/>
      <c r="C49" s="12"/>
      <c r="D49" s="12"/>
      <c r="E49" s="12"/>
      <c r="F49" s="13"/>
      <c r="G49" s="4"/>
      <c r="H49" s="4"/>
      <c r="I49" s="11" t="s">
        <v>7</v>
      </c>
      <c r="J49" s="12"/>
      <c r="K49" s="12"/>
      <c r="L49" s="14" t="s">
        <v>38</v>
      </c>
      <c r="M49" s="15"/>
    </row>
    <row r="50" spans="1:13" ht="26" thickBot="1" x14ac:dyDescent="0.65">
      <c r="A50" s="17" t="s">
        <v>39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x14ac:dyDescent="0.35">
      <c r="A51" s="915" t="s">
        <v>10</v>
      </c>
      <c r="B51" s="918" t="s">
        <v>11</v>
      </c>
      <c r="C51" s="919"/>
      <c r="D51" s="919"/>
      <c r="E51" s="920"/>
      <c r="F51" s="130" t="s">
        <v>12</v>
      </c>
      <c r="G51" s="918" t="s">
        <v>13</v>
      </c>
      <c r="H51" s="919"/>
      <c r="I51" s="920"/>
      <c r="J51" s="130" t="s">
        <v>14</v>
      </c>
      <c r="K51" s="918" t="s">
        <v>15</v>
      </c>
      <c r="L51" s="920"/>
      <c r="M51" s="132" t="s">
        <v>16</v>
      </c>
    </row>
    <row r="52" spans="1:13" ht="15" thickBot="1" x14ac:dyDescent="0.4">
      <c r="A52" s="916"/>
      <c r="B52" s="134" t="s">
        <v>17</v>
      </c>
      <c r="C52" s="135" t="s">
        <v>18</v>
      </c>
      <c r="D52" s="135" t="s">
        <v>19</v>
      </c>
      <c r="E52" s="136" t="s">
        <v>18</v>
      </c>
      <c r="F52" s="137" t="s">
        <v>20</v>
      </c>
      <c r="G52" s="138" t="s">
        <v>21</v>
      </c>
      <c r="H52" s="137"/>
      <c r="I52" s="139"/>
      <c r="J52" s="137" t="s">
        <v>22</v>
      </c>
      <c r="K52" s="138" t="s">
        <v>23</v>
      </c>
      <c r="L52" s="139"/>
      <c r="M52" s="140" t="s">
        <v>24</v>
      </c>
    </row>
    <row r="53" spans="1:13" ht="15" thickBot="1" x14ac:dyDescent="0.4">
      <c r="A53" s="917"/>
      <c r="B53" s="142" t="s">
        <v>25</v>
      </c>
      <c r="C53" s="143" t="s">
        <v>25</v>
      </c>
      <c r="D53" s="143"/>
      <c r="E53" s="144" t="s">
        <v>26</v>
      </c>
      <c r="F53" s="145" t="s">
        <v>27</v>
      </c>
      <c r="G53" s="146" t="s">
        <v>28</v>
      </c>
      <c r="H53" s="147" t="s">
        <v>29</v>
      </c>
      <c r="I53" s="148" t="s">
        <v>30</v>
      </c>
      <c r="J53" s="149" t="s">
        <v>31</v>
      </c>
      <c r="K53" s="146" t="s">
        <v>32</v>
      </c>
      <c r="L53" s="148" t="s">
        <v>33</v>
      </c>
      <c r="M53" s="150" t="s">
        <v>34</v>
      </c>
    </row>
    <row r="54" spans="1:13" x14ac:dyDescent="0.35">
      <c r="A54" s="91">
        <v>1</v>
      </c>
      <c r="B54" s="682">
        <v>15.6</v>
      </c>
      <c r="C54" s="362">
        <v>7</v>
      </c>
      <c r="D54" s="362">
        <f>(B54+C54)/2</f>
        <v>11.3</v>
      </c>
      <c r="E54" s="683">
        <v>5.4</v>
      </c>
      <c r="F54" s="151">
        <v>4</v>
      </c>
      <c r="G54" s="684">
        <v>88</v>
      </c>
      <c r="H54" s="685">
        <v>60</v>
      </c>
      <c r="I54" s="686">
        <v>85</v>
      </c>
      <c r="J54" s="687">
        <v>1.56</v>
      </c>
      <c r="K54" s="48">
        <v>2.6</v>
      </c>
      <c r="L54" s="205">
        <v>3</v>
      </c>
      <c r="M54" s="154"/>
    </row>
    <row r="55" spans="1:13" x14ac:dyDescent="0.35">
      <c r="A55" s="82">
        <v>2</v>
      </c>
      <c r="B55" s="688">
        <v>15.4</v>
      </c>
      <c r="C55" s="52">
        <v>6</v>
      </c>
      <c r="D55" s="40">
        <f t="shared" ref="D55:D63" si="8">(B55+C55)/2</f>
        <v>10.7</v>
      </c>
      <c r="E55" s="61">
        <v>4.2</v>
      </c>
      <c r="F55" s="151"/>
      <c r="G55" s="689">
        <v>90</v>
      </c>
      <c r="H55" s="690">
        <v>67</v>
      </c>
      <c r="I55" s="691">
        <v>87</v>
      </c>
      <c r="J55" s="692">
        <v>1.23</v>
      </c>
      <c r="K55" s="59">
        <v>1.8</v>
      </c>
      <c r="L55" s="59">
        <v>3</v>
      </c>
      <c r="M55" s="157"/>
    </row>
    <row r="56" spans="1:13" x14ac:dyDescent="0.35">
      <c r="A56" s="82">
        <v>3</v>
      </c>
      <c r="B56" s="688">
        <v>14.6</v>
      </c>
      <c r="C56" s="52">
        <v>7.6</v>
      </c>
      <c r="D56" s="40">
        <f t="shared" si="8"/>
        <v>11.1</v>
      </c>
      <c r="E56" s="61">
        <v>5.6</v>
      </c>
      <c r="F56" s="151">
        <v>3</v>
      </c>
      <c r="G56" s="689">
        <v>88</v>
      </c>
      <c r="H56" s="690">
        <v>72</v>
      </c>
      <c r="I56" s="691">
        <v>85</v>
      </c>
      <c r="J56" s="692">
        <v>0.8</v>
      </c>
      <c r="K56" s="59">
        <v>1.4</v>
      </c>
      <c r="L56" s="59">
        <v>2</v>
      </c>
      <c r="M56" s="157"/>
    </row>
    <row r="57" spans="1:13" x14ac:dyDescent="0.35">
      <c r="A57" s="82">
        <v>4</v>
      </c>
      <c r="B57" s="688">
        <v>15.4</v>
      </c>
      <c r="C57" s="52">
        <v>6</v>
      </c>
      <c r="D57" s="40">
        <f t="shared" si="8"/>
        <v>10.7</v>
      </c>
      <c r="E57" s="61">
        <v>4.4000000000000004</v>
      </c>
      <c r="F57" s="151">
        <v>5.5</v>
      </c>
      <c r="G57" s="693">
        <v>95</v>
      </c>
      <c r="H57" s="694">
        <v>70</v>
      </c>
      <c r="I57" s="695">
        <v>89</v>
      </c>
      <c r="J57" s="692">
        <v>0.8</v>
      </c>
      <c r="K57" s="59">
        <v>1.2</v>
      </c>
      <c r="L57" s="59">
        <v>2</v>
      </c>
      <c r="M57" s="157"/>
    </row>
    <row r="58" spans="1:13" x14ac:dyDescent="0.35">
      <c r="A58" s="82">
        <v>5</v>
      </c>
      <c r="B58" s="688">
        <v>15.6</v>
      </c>
      <c r="C58" s="52">
        <v>3</v>
      </c>
      <c r="D58" s="40">
        <f t="shared" si="8"/>
        <v>9.3000000000000007</v>
      </c>
      <c r="E58" s="61">
        <v>1.8</v>
      </c>
      <c r="F58" s="54"/>
      <c r="G58" s="689">
        <v>88</v>
      </c>
      <c r="H58" s="690">
        <v>74</v>
      </c>
      <c r="I58" s="691">
        <v>85</v>
      </c>
      <c r="J58" s="692">
        <v>0.94</v>
      </c>
      <c r="K58" s="59">
        <v>1.6</v>
      </c>
      <c r="L58" s="59">
        <v>2.5</v>
      </c>
      <c r="M58" s="157"/>
    </row>
    <row r="59" spans="1:13" x14ac:dyDescent="0.35">
      <c r="A59" s="82">
        <v>6</v>
      </c>
      <c r="B59" s="688">
        <v>15.8</v>
      </c>
      <c r="C59" s="52">
        <v>3.4</v>
      </c>
      <c r="D59" s="40">
        <f t="shared" si="8"/>
        <v>9.6</v>
      </c>
      <c r="E59" s="61">
        <v>2</v>
      </c>
      <c r="F59" s="54"/>
      <c r="G59" s="693">
        <v>89</v>
      </c>
      <c r="H59" s="690">
        <v>69</v>
      </c>
      <c r="I59" s="691">
        <v>87</v>
      </c>
      <c r="J59" s="692">
        <v>0.78</v>
      </c>
      <c r="K59" s="59">
        <v>1.3</v>
      </c>
      <c r="L59" s="59">
        <v>2</v>
      </c>
      <c r="M59" s="157"/>
    </row>
    <row r="60" spans="1:13" x14ac:dyDescent="0.35">
      <c r="A60" s="82">
        <v>7</v>
      </c>
      <c r="B60" s="688">
        <v>17.399999999999999</v>
      </c>
      <c r="C60" s="52">
        <v>2.6</v>
      </c>
      <c r="D60" s="40">
        <f t="shared" si="8"/>
        <v>10</v>
      </c>
      <c r="E60" s="61">
        <v>1.2</v>
      </c>
      <c r="F60" s="54"/>
      <c r="G60" s="689">
        <v>94</v>
      </c>
      <c r="H60" s="690">
        <v>74</v>
      </c>
      <c r="I60" s="691">
        <v>90</v>
      </c>
      <c r="J60" s="692">
        <v>1.35</v>
      </c>
      <c r="K60" s="59">
        <v>2</v>
      </c>
      <c r="L60" s="59">
        <v>3.5</v>
      </c>
      <c r="M60" s="157"/>
    </row>
    <row r="61" spans="1:13" x14ac:dyDescent="0.35">
      <c r="A61" s="82">
        <v>8</v>
      </c>
      <c r="B61" s="688">
        <v>17.8</v>
      </c>
      <c r="C61" s="52">
        <v>3</v>
      </c>
      <c r="D61" s="40">
        <f t="shared" si="8"/>
        <v>10.4</v>
      </c>
      <c r="E61" s="61">
        <v>1.6</v>
      </c>
      <c r="F61" s="54"/>
      <c r="G61" s="693">
        <v>90</v>
      </c>
      <c r="H61" s="690">
        <v>76</v>
      </c>
      <c r="I61" s="691">
        <v>86</v>
      </c>
      <c r="J61" s="692">
        <v>1.71</v>
      </c>
      <c r="K61" s="59">
        <v>2.5</v>
      </c>
      <c r="L61" s="59">
        <v>4</v>
      </c>
      <c r="M61" s="157"/>
    </row>
    <row r="62" spans="1:13" x14ac:dyDescent="0.35">
      <c r="A62" s="82">
        <v>9</v>
      </c>
      <c r="B62" s="688">
        <v>17.600000000000001</v>
      </c>
      <c r="C62" s="52">
        <v>2.6</v>
      </c>
      <c r="D62" s="40">
        <f t="shared" si="8"/>
        <v>10.100000000000001</v>
      </c>
      <c r="E62" s="61">
        <v>1.6</v>
      </c>
      <c r="F62" s="54"/>
      <c r="G62" s="689">
        <v>88</v>
      </c>
      <c r="H62" s="690">
        <v>72</v>
      </c>
      <c r="I62" s="691">
        <v>86</v>
      </c>
      <c r="J62" s="692">
        <v>1.04</v>
      </c>
      <c r="K62" s="59">
        <v>1.5</v>
      </c>
      <c r="L62" s="59">
        <v>2.5</v>
      </c>
      <c r="M62" s="157"/>
    </row>
    <row r="63" spans="1:13" ht="15" thickBot="1" x14ac:dyDescent="0.4">
      <c r="A63" s="83">
        <v>10</v>
      </c>
      <c r="B63" s="688">
        <v>15.8</v>
      </c>
      <c r="C63" s="52">
        <v>6.8</v>
      </c>
      <c r="D63" s="40">
        <f t="shared" si="8"/>
        <v>11.3</v>
      </c>
      <c r="E63" s="61">
        <v>4.5999999999999996</v>
      </c>
      <c r="F63" s="64"/>
      <c r="G63" s="689">
        <v>88</v>
      </c>
      <c r="H63" s="690">
        <v>76</v>
      </c>
      <c r="I63" s="691">
        <v>85</v>
      </c>
      <c r="J63" s="692">
        <v>0.9</v>
      </c>
      <c r="K63" s="59">
        <v>1.5</v>
      </c>
      <c r="L63" s="59">
        <v>2.5</v>
      </c>
      <c r="M63" s="696"/>
    </row>
    <row r="64" spans="1:13" ht="15" thickBot="1" x14ac:dyDescent="0.4">
      <c r="A64" s="85" t="s">
        <v>35</v>
      </c>
      <c r="B64" s="217">
        <f t="shared" ref="B64:M64" si="9">SUM(B54:B63)</f>
        <v>161</v>
      </c>
      <c r="C64" s="71">
        <f t="shared" si="9"/>
        <v>48</v>
      </c>
      <c r="D64" s="71">
        <f t="shared" si="9"/>
        <v>104.49999999999999</v>
      </c>
      <c r="E64" s="71">
        <f t="shared" si="9"/>
        <v>32.400000000000006</v>
      </c>
      <c r="F64" s="69">
        <f t="shared" ref="F64" si="10">SUM(F54:F63)</f>
        <v>12.5</v>
      </c>
      <c r="G64" s="69">
        <f t="shared" si="9"/>
        <v>898</v>
      </c>
      <c r="H64" s="70">
        <f t="shared" si="9"/>
        <v>710</v>
      </c>
      <c r="I64" s="71">
        <f t="shared" si="9"/>
        <v>865</v>
      </c>
      <c r="J64" s="75">
        <f t="shared" ref="J64:L64" si="11">SUM(J54:J63)</f>
        <v>11.110000000000001</v>
      </c>
      <c r="K64" s="76">
        <f t="shared" si="11"/>
        <v>17.400000000000002</v>
      </c>
      <c r="L64" s="76">
        <f t="shared" si="11"/>
        <v>27</v>
      </c>
      <c r="M64" s="217">
        <f t="shared" si="9"/>
        <v>0</v>
      </c>
    </row>
    <row r="65" spans="1:13" x14ac:dyDescent="0.35">
      <c r="A65" s="91">
        <v>11</v>
      </c>
      <c r="B65" s="688">
        <v>18</v>
      </c>
      <c r="C65" s="52">
        <v>7</v>
      </c>
      <c r="D65" s="40">
        <f t="shared" ref="D65:D74" si="12">(B65+C65)/2</f>
        <v>12.5</v>
      </c>
      <c r="E65" s="61">
        <v>4.8</v>
      </c>
      <c r="F65" s="78"/>
      <c r="G65" s="689">
        <v>89</v>
      </c>
      <c r="H65" s="690">
        <v>72</v>
      </c>
      <c r="I65" s="691">
        <v>88</v>
      </c>
      <c r="J65" s="692">
        <v>0.91</v>
      </c>
      <c r="K65" s="59">
        <v>1.3</v>
      </c>
      <c r="L65" s="59">
        <v>2</v>
      </c>
      <c r="M65" s="154"/>
    </row>
    <row r="66" spans="1:13" x14ac:dyDescent="0.35">
      <c r="A66" s="82">
        <v>12</v>
      </c>
      <c r="B66" s="688">
        <v>16.399999999999999</v>
      </c>
      <c r="C66" s="52">
        <v>7.2</v>
      </c>
      <c r="D66" s="40">
        <f t="shared" si="12"/>
        <v>11.799999999999999</v>
      </c>
      <c r="E66" s="61">
        <v>5</v>
      </c>
      <c r="F66" s="78"/>
      <c r="G66" s="693">
        <v>88</v>
      </c>
      <c r="H66" s="690">
        <v>75</v>
      </c>
      <c r="I66" s="691">
        <v>84</v>
      </c>
      <c r="J66" s="692">
        <v>1.6</v>
      </c>
      <c r="K66" s="48">
        <v>2.5</v>
      </c>
      <c r="L66" s="59">
        <v>4</v>
      </c>
      <c r="M66" s="157"/>
    </row>
    <row r="67" spans="1:13" x14ac:dyDescent="0.35">
      <c r="A67" s="82">
        <v>13</v>
      </c>
      <c r="B67" s="688">
        <v>18</v>
      </c>
      <c r="C67" s="52">
        <v>6</v>
      </c>
      <c r="D67" s="40">
        <f t="shared" si="12"/>
        <v>12</v>
      </c>
      <c r="E67" s="61">
        <v>4.2</v>
      </c>
      <c r="F67" s="78"/>
      <c r="G67" s="689">
        <v>89</v>
      </c>
      <c r="H67" s="690">
        <v>76</v>
      </c>
      <c r="I67" s="691">
        <v>86</v>
      </c>
      <c r="J67" s="692">
        <v>0.88</v>
      </c>
      <c r="K67" s="48">
        <v>1.3</v>
      </c>
      <c r="L67" s="59">
        <v>2</v>
      </c>
      <c r="M67" s="157"/>
    </row>
    <row r="68" spans="1:13" x14ac:dyDescent="0.35">
      <c r="A68" s="82">
        <v>14</v>
      </c>
      <c r="B68" s="688">
        <v>18.2</v>
      </c>
      <c r="C68" s="52">
        <v>4</v>
      </c>
      <c r="D68" s="40">
        <f t="shared" si="12"/>
        <v>11.1</v>
      </c>
      <c r="E68" s="61">
        <v>2.6</v>
      </c>
      <c r="F68" s="78"/>
      <c r="G68" s="689">
        <v>88</v>
      </c>
      <c r="H68" s="690">
        <v>71</v>
      </c>
      <c r="I68" s="691">
        <v>82</v>
      </c>
      <c r="J68" s="692">
        <v>0.91</v>
      </c>
      <c r="K68" s="48">
        <v>1.3</v>
      </c>
      <c r="L68" s="59">
        <v>2</v>
      </c>
      <c r="M68" s="157"/>
    </row>
    <row r="69" spans="1:13" x14ac:dyDescent="0.35">
      <c r="A69" s="82">
        <v>15</v>
      </c>
      <c r="B69" s="688">
        <v>18</v>
      </c>
      <c r="C69" s="160">
        <v>3.6</v>
      </c>
      <c r="D69" s="40">
        <f t="shared" si="12"/>
        <v>10.8</v>
      </c>
      <c r="E69" s="61">
        <v>1.6</v>
      </c>
      <c r="F69" s="78"/>
      <c r="G69" s="693">
        <v>86</v>
      </c>
      <c r="H69" s="690">
        <v>68</v>
      </c>
      <c r="I69" s="691">
        <v>84</v>
      </c>
      <c r="J69" s="692">
        <v>1.1000000000000001</v>
      </c>
      <c r="K69" s="48">
        <v>1.6</v>
      </c>
      <c r="L69" s="59">
        <v>2.5</v>
      </c>
      <c r="M69" s="157"/>
    </row>
    <row r="70" spans="1:13" x14ac:dyDescent="0.35">
      <c r="A70" s="82">
        <v>16</v>
      </c>
      <c r="B70" s="688">
        <v>17.600000000000001</v>
      </c>
      <c r="C70" s="52">
        <v>3.4</v>
      </c>
      <c r="D70" s="40">
        <f t="shared" si="12"/>
        <v>10.5</v>
      </c>
      <c r="E70" s="61">
        <v>1.4</v>
      </c>
      <c r="F70" s="78"/>
      <c r="G70" s="693">
        <v>87</v>
      </c>
      <c r="H70" s="690">
        <v>79</v>
      </c>
      <c r="I70" s="691">
        <v>84</v>
      </c>
      <c r="J70" s="692">
        <v>1.17</v>
      </c>
      <c r="K70" s="48">
        <v>1.7</v>
      </c>
      <c r="L70" s="59">
        <v>3</v>
      </c>
      <c r="M70" s="157"/>
    </row>
    <row r="71" spans="1:13" x14ac:dyDescent="0.35">
      <c r="A71" s="82">
        <v>17</v>
      </c>
      <c r="B71" s="688">
        <v>19.2</v>
      </c>
      <c r="C71" s="52">
        <v>3</v>
      </c>
      <c r="D71" s="40">
        <f t="shared" si="12"/>
        <v>11.1</v>
      </c>
      <c r="E71" s="61">
        <v>1.2</v>
      </c>
      <c r="F71" s="78"/>
      <c r="G71" s="693">
        <v>90</v>
      </c>
      <c r="H71" s="690">
        <v>70</v>
      </c>
      <c r="I71" s="691">
        <v>88</v>
      </c>
      <c r="J71" s="692">
        <v>1.05</v>
      </c>
      <c r="K71" s="48">
        <v>1.4</v>
      </c>
      <c r="L71" s="59">
        <v>2.5</v>
      </c>
      <c r="M71" s="157"/>
    </row>
    <row r="72" spans="1:13" x14ac:dyDescent="0.35">
      <c r="A72" s="82">
        <v>18</v>
      </c>
      <c r="B72" s="688">
        <v>20.399999999999999</v>
      </c>
      <c r="C72" s="52">
        <v>6</v>
      </c>
      <c r="D72" s="40">
        <f t="shared" si="12"/>
        <v>13.2</v>
      </c>
      <c r="E72" s="61">
        <v>4</v>
      </c>
      <c r="F72" s="78"/>
      <c r="G72" s="693">
        <v>88</v>
      </c>
      <c r="H72" s="690">
        <v>68</v>
      </c>
      <c r="I72" s="691">
        <v>85</v>
      </c>
      <c r="J72" s="692">
        <v>1.59</v>
      </c>
      <c r="K72" s="48">
        <v>2</v>
      </c>
      <c r="L72" s="59">
        <v>3.5</v>
      </c>
      <c r="M72" s="157"/>
    </row>
    <row r="73" spans="1:13" x14ac:dyDescent="0.35">
      <c r="A73" s="82">
        <v>19</v>
      </c>
      <c r="B73" s="688">
        <v>19.399999999999999</v>
      </c>
      <c r="C73" s="52">
        <v>8</v>
      </c>
      <c r="D73" s="40">
        <f t="shared" si="12"/>
        <v>13.7</v>
      </c>
      <c r="E73" s="61">
        <v>5.6</v>
      </c>
      <c r="F73" s="78"/>
      <c r="G73" s="693">
        <v>89</v>
      </c>
      <c r="H73" s="694">
        <v>73</v>
      </c>
      <c r="I73" s="695">
        <v>86</v>
      </c>
      <c r="J73" s="692">
        <v>1.34</v>
      </c>
      <c r="K73" s="48">
        <v>1.8</v>
      </c>
      <c r="L73" s="59">
        <v>3</v>
      </c>
      <c r="M73" s="157"/>
    </row>
    <row r="74" spans="1:13" ht="15" thickBot="1" x14ac:dyDescent="0.4">
      <c r="A74" s="83">
        <v>20</v>
      </c>
      <c r="B74" s="688">
        <v>19.600000000000001</v>
      </c>
      <c r="C74" s="52">
        <v>6</v>
      </c>
      <c r="D74" s="40">
        <f t="shared" si="12"/>
        <v>12.8</v>
      </c>
      <c r="E74" s="61">
        <v>3.8</v>
      </c>
      <c r="F74" s="84"/>
      <c r="G74" s="689">
        <v>87</v>
      </c>
      <c r="H74" s="690">
        <v>74</v>
      </c>
      <c r="I74" s="691">
        <v>85</v>
      </c>
      <c r="J74" s="692">
        <v>0.73</v>
      </c>
      <c r="K74" s="48">
        <v>1</v>
      </c>
      <c r="L74" s="59">
        <v>2</v>
      </c>
      <c r="M74" s="696"/>
    </row>
    <row r="75" spans="1:13" ht="15" thickBot="1" x14ac:dyDescent="0.4">
      <c r="A75" s="85" t="s">
        <v>35</v>
      </c>
      <c r="B75" s="217">
        <f t="shared" ref="B75:I75" si="13">SUM(B65:B74)</f>
        <v>184.79999999999998</v>
      </c>
      <c r="C75" s="71">
        <f t="shared" si="13"/>
        <v>54.2</v>
      </c>
      <c r="D75" s="71">
        <f t="shared" si="13"/>
        <v>119.5</v>
      </c>
      <c r="E75" s="71">
        <f t="shared" si="13"/>
        <v>34.199999999999996</v>
      </c>
      <c r="F75" s="88">
        <f>SUM(F65:F74)</f>
        <v>0</v>
      </c>
      <c r="G75" s="69">
        <f t="shared" si="13"/>
        <v>881</v>
      </c>
      <c r="H75" s="70">
        <f t="shared" si="13"/>
        <v>726</v>
      </c>
      <c r="I75" s="71">
        <f t="shared" si="13"/>
        <v>852</v>
      </c>
      <c r="J75" s="89">
        <f t="shared" ref="J75:M75" si="14">SUM(J65:J74)</f>
        <v>11.280000000000001</v>
      </c>
      <c r="K75" s="86">
        <f t="shared" si="14"/>
        <v>15.9</v>
      </c>
      <c r="L75" s="87">
        <f t="shared" si="14"/>
        <v>26.5</v>
      </c>
      <c r="M75" s="217">
        <f t="shared" si="14"/>
        <v>0</v>
      </c>
    </row>
    <row r="76" spans="1:13" x14ac:dyDescent="0.35">
      <c r="A76" s="91">
        <v>21</v>
      </c>
      <c r="B76" s="688">
        <v>18.8</v>
      </c>
      <c r="C76" s="52">
        <v>5.2</v>
      </c>
      <c r="D76" s="40">
        <f t="shared" ref="D76:D83" si="15">(B76+C76)/2</f>
        <v>12</v>
      </c>
      <c r="E76" s="61">
        <v>3</v>
      </c>
      <c r="F76" s="151"/>
      <c r="G76" s="693">
        <v>88</v>
      </c>
      <c r="H76" s="697">
        <v>73</v>
      </c>
      <c r="I76" s="698">
        <v>84</v>
      </c>
      <c r="J76" s="692">
        <v>1.19</v>
      </c>
      <c r="K76" s="48">
        <v>1.6</v>
      </c>
      <c r="L76" s="59">
        <v>2.5</v>
      </c>
      <c r="M76" s="154"/>
    </row>
    <row r="77" spans="1:13" x14ac:dyDescent="0.35">
      <c r="A77" s="82">
        <v>22</v>
      </c>
      <c r="B77" s="688">
        <v>20.399999999999999</v>
      </c>
      <c r="C77" s="52">
        <v>5</v>
      </c>
      <c r="D77" s="40">
        <f t="shared" si="15"/>
        <v>12.7</v>
      </c>
      <c r="E77" s="61">
        <v>2.8</v>
      </c>
      <c r="F77" s="151">
        <v>5</v>
      </c>
      <c r="G77" s="693">
        <v>88</v>
      </c>
      <c r="H77" s="690">
        <v>68</v>
      </c>
      <c r="I77" s="691">
        <v>85</v>
      </c>
      <c r="J77" s="692">
        <v>1.17</v>
      </c>
      <c r="K77" s="48">
        <v>1.5</v>
      </c>
      <c r="L77" s="59">
        <v>2.5</v>
      </c>
      <c r="M77" s="157"/>
    </row>
    <row r="78" spans="1:13" x14ac:dyDescent="0.35">
      <c r="A78" s="82">
        <v>23</v>
      </c>
      <c r="B78" s="688">
        <v>20.6</v>
      </c>
      <c r="C78" s="52">
        <v>6</v>
      </c>
      <c r="D78" s="40">
        <f t="shared" si="15"/>
        <v>13.3</v>
      </c>
      <c r="E78" s="61">
        <v>3.8</v>
      </c>
      <c r="F78" s="151">
        <v>1.2</v>
      </c>
      <c r="G78" s="689">
        <v>90</v>
      </c>
      <c r="H78" s="690">
        <v>78</v>
      </c>
      <c r="I78" s="691">
        <v>87</v>
      </c>
      <c r="J78" s="692">
        <v>0.98</v>
      </c>
      <c r="K78" s="48">
        <v>1.2</v>
      </c>
      <c r="L78" s="59">
        <v>2</v>
      </c>
      <c r="M78" s="157"/>
    </row>
    <row r="79" spans="1:13" x14ac:dyDescent="0.35">
      <c r="A79" s="82">
        <v>24</v>
      </c>
      <c r="B79" s="688">
        <v>17.8</v>
      </c>
      <c r="C79" s="52">
        <v>5</v>
      </c>
      <c r="D79" s="40">
        <f t="shared" si="15"/>
        <v>11.4</v>
      </c>
      <c r="E79" s="61">
        <v>3.2</v>
      </c>
      <c r="F79" s="155"/>
      <c r="G79" s="689">
        <v>88</v>
      </c>
      <c r="H79" s="690">
        <v>76</v>
      </c>
      <c r="I79" s="691">
        <v>86</v>
      </c>
      <c r="J79" s="692">
        <v>0.95</v>
      </c>
      <c r="K79" s="48">
        <v>1.4</v>
      </c>
      <c r="L79" s="59">
        <v>2.5</v>
      </c>
      <c r="M79" s="157"/>
    </row>
    <row r="80" spans="1:13" x14ac:dyDescent="0.35">
      <c r="A80" s="82">
        <v>25</v>
      </c>
      <c r="B80" s="688">
        <v>18.600000000000001</v>
      </c>
      <c r="C80" s="52">
        <v>7.4</v>
      </c>
      <c r="D80" s="40">
        <f t="shared" si="15"/>
        <v>13</v>
      </c>
      <c r="E80" s="61">
        <v>5.2</v>
      </c>
      <c r="F80" s="155"/>
      <c r="G80" s="689">
        <v>91</v>
      </c>
      <c r="H80" s="690">
        <v>75</v>
      </c>
      <c r="I80" s="691">
        <v>88</v>
      </c>
      <c r="J80" s="692">
        <v>1.17</v>
      </c>
      <c r="K80" s="48">
        <v>1.6</v>
      </c>
      <c r="L80" s="59">
        <v>2.5</v>
      </c>
      <c r="M80" s="157"/>
    </row>
    <row r="81" spans="1:13" x14ac:dyDescent="0.35">
      <c r="A81" s="82">
        <v>26</v>
      </c>
      <c r="B81" s="688">
        <v>18.8</v>
      </c>
      <c r="C81" s="52">
        <v>4</v>
      </c>
      <c r="D81" s="40">
        <f t="shared" si="15"/>
        <v>11.4</v>
      </c>
      <c r="E81" s="61">
        <v>2.2000000000000002</v>
      </c>
      <c r="F81" s="155"/>
      <c r="G81" s="693">
        <v>88</v>
      </c>
      <c r="H81" s="690">
        <v>62</v>
      </c>
      <c r="I81" s="691">
        <v>82</v>
      </c>
      <c r="J81" s="692">
        <v>1.41</v>
      </c>
      <c r="K81" s="48">
        <v>2</v>
      </c>
      <c r="L81" s="59">
        <v>3.5</v>
      </c>
      <c r="M81" s="157"/>
    </row>
    <row r="82" spans="1:13" x14ac:dyDescent="0.35">
      <c r="A82" s="82">
        <v>27</v>
      </c>
      <c r="B82" s="688">
        <v>17.8</v>
      </c>
      <c r="C82" s="52">
        <v>6.2</v>
      </c>
      <c r="D82" s="40">
        <f t="shared" si="15"/>
        <v>12</v>
      </c>
      <c r="E82" s="61">
        <v>4</v>
      </c>
      <c r="F82" s="155"/>
      <c r="G82" s="689">
        <v>88</v>
      </c>
      <c r="H82" s="690">
        <v>71</v>
      </c>
      <c r="I82" s="691">
        <v>84</v>
      </c>
      <c r="J82" s="692">
        <v>1</v>
      </c>
      <c r="K82" s="48">
        <v>1.5</v>
      </c>
      <c r="L82" s="59">
        <v>2.5</v>
      </c>
      <c r="M82" s="157"/>
    </row>
    <row r="83" spans="1:13" x14ac:dyDescent="0.35">
      <c r="A83" s="82">
        <v>28</v>
      </c>
      <c r="B83" s="688">
        <v>16.8</v>
      </c>
      <c r="C83" s="52">
        <v>8.1999999999999993</v>
      </c>
      <c r="D83" s="40">
        <f t="shared" si="15"/>
        <v>12.5</v>
      </c>
      <c r="E83" s="61">
        <v>5.4</v>
      </c>
      <c r="F83" s="162"/>
      <c r="G83" s="693">
        <v>89</v>
      </c>
      <c r="H83" s="690">
        <v>74</v>
      </c>
      <c r="I83" s="691">
        <v>86</v>
      </c>
      <c r="J83" s="692">
        <v>1.34</v>
      </c>
      <c r="K83" s="48">
        <v>2.1</v>
      </c>
      <c r="L83" s="59">
        <v>3.5</v>
      </c>
      <c r="M83" s="157"/>
    </row>
    <row r="84" spans="1:13" x14ac:dyDescent="0.35">
      <c r="A84" s="82">
        <v>29</v>
      </c>
      <c r="B84" s="51"/>
      <c r="C84" s="60"/>
      <c r="D84" s="41"/>
      <c r="E84" s="53"/>
      <c r="F84" s="163"/>
      <c r="G84" s="55"/>
      <c r="H84" s="56"/>
      <c r="I84" s="62"/>
      <c r="J84" s="58"/>
      <c r="K84" s="42"/>
      <c r="L84" s="59"/>
      <c r="M84" s="157"/>
    </row>
    <row r="85" spans="1:13" x14ac:dyDescent="0.35">
      <c r="A85" s="82">
        <v>30</v>
      </c>
      <c r="B85" s="164"/>
      <c r="C85" s="165"/>
      <c r="D85" s="166"/>
      <c r="E85" s="167"/>
      <c r="F85" s="163"/>
      <c r="G85" s="168"/>
      <c r="H85" s="169"/>
      <c r="I85" s="170"/>
      <c r="J85" s="58"/>
      <c r="K85" s="42"/>
      <c r="L85" s="59"/>
      <c r="M85" s="157"/>
    </row>
    <row r="86" spans="1:13" ht="15" thickBot="1" x14ac:dyDescent="0.4">
      <c r="A86" s="83">
        <v>31</v>
      </c>
      <c r="B86" s="173"/>
      <c r="C86" s="174"/>
      <c r="D86" s="175"/>
      <c r="E86" s="176"/>
      <c r="F86" s="97"/>
      <c r="G86" s="177"/>
      <c r="H86" s="178"/>
      <c r="I86" s="179"/>
      <c r="J86" s="180"/>
      <c r="K86" s="181"/>
      <c r="L86" s="182"/>
      <c r="M86" s="696"/>
    </row>
    <row r="87" spans="1:13" ht="15" thickBot="1" x14ac:dyDescent="0.4">
      <c r="A87" s="68" t="s">
        <v>35</v>
      </c>
      <c r="B87" s="71">
        <f t="shared" ref="B87:M87" si="16">SUM(B76:B86)</f>
        <v>149.60000000000002</v>
      </c>
      <c r="C87" s="71">
        <f t="shared" si="16"/>
        <v>47</v>
      </c>
      <c r="D87" s="71">
        <f t="shared" si="16"/>
        <v>98.3</v>
      </c>
      <c r="E87" s="71">
        <f t="shared" si="16"/>
        <v>29.6</v>
      </c>
      <c r="F87" s="88">
        <f t="shared" si="16"/>
        <v>6.2</v>
      </c>
      <c r="G87" s="183">
        <f t="shared" si="16"/>
        <v>710</v>
      </c>
      <c r="H87" s="184">
        <f t="shared" si="16"/>
        <v>577</v>
      </c>
      <c r="I87" s="185">
        <f t="shared" si="16"/>
        <v>682</v>
      </c>
      <c r="J87" s="71">
        <f t="shared" si="16"/>
        <v>9.2100000000000009</v>
      </c>
      <c r="K87" s="71">
        <f t="shared" si="16"/>
        <v>12.899999999999999</v>
      </c>
      <c r="L87" s="71">
        <f t="shared" si="16"/>
        <v>21.5</v>
      </c>
      <c r="M87" s="217">
        <f t="shared" si="16"/>
        <v>0</v>
      </c>
    </row>
    <row r="88" spans="1:13" ht="15" thickBot="1" x14ac:dyDescent="0.4">
      <c r="A88" s="186" t="s">
        <v>36</v>
      </c>
      <c r="B88" s="187">
        <f>+B87+B75+B64</f>
        <v>495.4</v>
      </c>
      <c r="C88" s="187">
        <f t="shared" ref="C88:J88" si="17">+C87+C75+C64</f>
        <v>149.19999999999999</v>
      </c>
      <c r="D88" s="187">
        <f t="shared" si="17"/>
        <v>322.3</v>
      </c>
      <c r="E88" s="187">
        <f t="shared" si="17"/>
        <v>96.2</v>
      </c>
      <c r="F88" s="188">
        <f t="shared" si="17"/>
        <v>18.7</v>
      </c>
      <c r="G88" s="187">
        <f t="shared" si="17"/>
        <v>2489</v>
      </c>
      <c r="H88" s="189">
        <f t="shared" si="17"/>
        <v>2013</v>
      </c>
      <c r="I88" s="190">
        <f t="shared" si="17"/>
        <v>2399</v>
      </c>
      <c r="J88" s="191">
        <f t="shared" si="17"/>
        <v>31.6</v>
      </c>
      <c r="K88" s="187">
        <f>+K87+K75+K64</f>
        <v>46.2</v>
      </c>
      <c r="L88" s="187">
        <f>+L87+L75+L64</f>
        <v>75</v>
      </c>
      <c r="M88" s="111">
        <f t="shared" ref="M88" si="18">M87+M75+M64</f>
        <v>0</v>
      </c>
    </row>
    <row r="89" spans="1:13" ht="15" thickBot="1" x14ac:dyDescent="0.4">
      <c r="A89" s="192" t="s">
        <v>19</v>
      </c>
      <c r="B89" s="110">
        <f>+B88/28</f>
        <v>17.692857142857143</v>
      </c>
      <c r="C89" s="110">
        <f t="shared" ref="C89:J89" si="19">+C88/28</f>
        <v>5.3285714285714283</v>
      </c>
      <c r="D89" s="110">
        <f t="shared" si="19"/>
        <v>11.510714285714286</v>
      </c>
      <c r="E89" s="110">
        <f t="shared" si="19"/>
        <v>3.4357142857142859</v>
      </c>
      <c r="F89" s="193" t="s">
        <v>63</v>
      </c>
      <c r="G89" s="110">
        <f t="shared" si="19"/>
        <v>88.892857142857139</v>
      </c>
      <c r="H89" s="699">
        <f t="shared" si="19"/>
        <v>71.892857142857139</v>
      </c>
      <c r="I89" s="700">
        <f t="shared" si="19"/>
        <v>85.678571428571431</v>
      </c>
      <c r="J89" s="197">
        <f t="shared" si="19"/>
        <v>1.1285714285714286</v>
      </c>
      <c r="K89" s="198">
        <v>0</v>
      </c>
      <c r="L89" s="199">
        <v>0</v>
      </c>
      <c r="M89" s="123"/>
    </row>
    <row r="90" spans="1:13" ht="16" thickBot="1" x14ac:dyDescent="0.4">
      <c r="A90" s="5"/>
      <c r="B90" s="6"/>
      <c r="C90" s="6"/>
      <c r="D90" s="6"/>
      <c r="E90" s="6"/>
      <c r="F90" s="4"/>
      <c r="G90" s="4"/>
      <c r="H90" s="4"/>
      <c r="I90" s="4"/>
      <c r="J90" s="4"/>
      <c r="K90" s="4"/>
      <c r="L90" s="4"/>
      <c r="M90" s="4"/>
    </row>
    <row r="91" spans="1:13" ht="16" thickBot="1" x14ac:dyDescent="0.4">
      <c r="A91" s="1" t="s">
        <v>0</v>
      </c>
      <c r="B91" s="2"/>
      <c r="C91" s="2"/>
      <c r="D91" s="2"/>
      <c r="E91" s="2"/>
      <c r="F91" s="3"/>
      <c r="G91" s="4"/>
      <c r="H91" s="4"/>
      <c r="I91" s="4"/>
      <c r="J91" s="4"/>
      <c r="K91" s="4"/>
      <c r="L91" s="4"/>
      <c r="M91" s="4"/>
    </row>
    <row r="92" spans="1:13" ht="15.5" x14ac:dyDescent="0.35">
      <c r="A92" s="5" t="s">
        <v>2</v>
      </c>
      <c r="B92" s="6"/>
      <c r="C92" s="6"/>
      <c r="D92" s="6"/>
      <c r="E92" s="6"/>
      <c r="F92" s="7"/>
      <c r="G92" s="4"/>
      <c r="H92" s="4"/>
      <c r="I92" s="1" t="s">
        <v>3</v>
      </c>
      <c r="J92" s="2"/>
      <c r="K92" s="2"/>
      <c r="L92" s="2"/>
      <c r="M92" s="8"/>
    </row>
    <row r="93" spans="1:13" ht="15.5" x14ac:dyDescent="0.35">
      <c r="A93" s="5" t="s">
        <v>4</v>
      </c>
      <c r="B93" s="6"/>
      <c r="C93" s="6"/>
      <c r="D93" s="6"/>
      <c r="E93" s="6"/>
      <c r="F93" s="7"/>
      <c r="G93" s="4"/>
      <c r="H93" s="4"/>
      <c r="I93" s="5" t="s">
        <v>61</v>
      </c>
      <c r="J93" s="6"/>
      <c r="K93" s="6"/>
      <c r="L93" s="9"/>
      <c r="M93" s="10"/>
    </row>
    <row r="94" spans="1:13" ht="16" thickBot="1" x14ac:dyDescent="0.4">
      <c r="A94" s="11" t="s">
        <v>6</v>
      </c>
      <c r="B94" s="12"/>
      <c r="C94" s="12"/>
      <c r="D94" s="12"/>
      <c r="E94" s="12"/>
      <c r="F94" s="13"/>
      <c r="G94" s="4"/>
      <c r="H94" s="4"/>
      <c r="I94" s="11" t="s">
        <v>7</v>
      </c>
      <c r="J94" s="12"/>
      <c r="K94" s="12"/>
      <c r="L94" s="14" t="s">
        <v>41</v>
      </c>
      <c r="M94" s="15"/>
    </row>
    <row r="95" spans="1:13" ht="26" thickBot="1" x14ac:dyDescent="0.65">
      <c r="A95" s="17" t="s">
        <v>39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x14ac:dyDescent="0.35">
      <c r="A96" s="915" t="s">
        <v>10</v>
      </c>
      <c r="B96" s="918" t="s">
        <v>11</v>
      </c>
      <c r="C96" s="919"/>
      <c r="D96" s="919"/>
      <c r="E96" s="920"/>
      <c r="F96" s="129" t="s">
        <v>12</v>
      </c>
      <c r="G96" s="918" t="s">
        <v>13</v>
      </c>
      <c r="H96" s="919"/>
      <c r="I96" s="920"/>
      <c r="J96" s="132" t="s">
        <v>14</v>
      </c>
      <c r="K96" s="919" t="s">
        <v>15</v>
      </c>
      <c r="L96" s="920"/>
      <c r="M96" s="132" t="s">
        <v>16</v>
      </c>
    </row>
    <row r="97" spans="1:13" ht="15" thickBot="1" x14ac:dyDescent="0.4">
      <c r="A97" s="916"/>
      <c r="B97" s="134" t="s">
        <v>17</v>
      </c>
      <c r="C97" s="135" t="s">
        <v>18</v>
      </c>
      <c r="D97" s="135" t="s">
        <v>19</v>
      </c>
      <c r="E97" s="200" t="s">
        <v>18</v>
      </c>
      <c r="F97" s="138" t="s">
        <v>20</v>
      </c>
      <c r="G97" s="924" t="s">
        <v>21</v>
      </c>
      <c r="H97" s="925"/>
      <c r="I97" s="926"/>
      <c r="J97" s="140" t="s">
        <v>22</v>
      </c>
      <c r="K97" s="925" t="s">
        <v>23</v>
      </c>
      <c r="L97" s="926"/>
      <c r="M97" s="140" t="s">
        <v>24</v>
      </c>
    </row>
    <row r="98" spans="1:13" ht="15" thickBot="1" x14ac:dyDescent="0.4">
      <c r="A98" s="917"/>
      <c r="B98" s="142" t="s">
        <v>25</v>
      </c>
      <c r="C98" s="143" t="s">
        <v>25</v>
      </c>
      <c r="D98" s="143"/>
      <c r="E98" s="201" t="s">
        <v>26</v>
      </c>
      <c r="F98" s="270" t="s">
        <v>27</v>
      </c>
      <c r="G98" s="271" t="s">
        <v>28</v>
      </c>
      <c r="H98" s="272" t="s">
        <v>29</v>
      </c>
      <c r="I98" s="273" t="s">
        <v>30</v>
      </c>
      <c r="J98" s="274" t="s">
        <v>31</v>
      </c>
      <c r="K98" s="146" t="s">
        <v>32</v>
      </c>
      <c r="L98" s="148" t="s">
        <v>33</v>
      </c>
      <c r="M98" s="150" t="s">
        <v>34</v>
      </c>
    </row>
    <row r="99" spans="1:13" ht="15.75" customHeight="1" x14ac:dyDescent="0.35">
      <c r="A99" s="221">
        <v>1</v>
      </c>
      <c r="B99" s="275">
        <v>20.399999999999999</v>
      </c>
      <c r="C99" s="276">
        <v>7</v>
      </c>
      <c r="D99" s="276">
        <v>15.2</v>
      </c>
      <c r="E99" s="701">
        <v>5.2</v>
      </c>
      <c r="F99" s="702"/>
      <c r="G99" s="703">
        <v>91</v>
      </c>
      <c r="H99" s="704">
        <v>74</v>
      </c>
      <c r="I99" s="280">
        <v>89</v>
      </c>
      <c r="J99" s="705">
        <v>2.23</v>
      </c>
      <c r="K99" s="706">
        <v>2.8</v>
      </c>
      <c r="L99" s="707">
        <v>4.5</v>
      </c>
      <c r="M99" s="284"/>
    </row>
    <row r="100" spans="1:13" ht="15.5" x14ac:dyDescent="0.35">
      <c r="A100" s="223">
        <v>2</v>
      </c>
      <c r="B100" s="285">
        <v>14</v>
      </c>
      <c r="C100" s="286">
        <v>5</v>
      </c>
      <c r="D100" s="277">
        <v>11.3</v>
      </c>
      <c r="E100" s="294">
        <v>3.8</v>
      </c>
      <c r="F100" s="702"/>
      <c r="G100" s="708">
        <v>98</v>
      </c>
      <c r="H100" s="313">
        <v>91</v>
      </c>
      <c r="I100" s="288">
        <v>94</v>
      </c>
      <c r="J100" s="709">
        <v>0.61</v>
      </c>
      <c r="K100" s="52">
        <v>1.1000000000000001</v>
      </c>
      <c r="L100" s="61">
        <v>2</v>
      </c>
      <c r="M100" s="291"/>
    </row>
    <row r="101" spans="1:13" ht="15.5" x14ac:dyDescent="0.35">
      <c r="A101" s="223">
        <v>3</v>
      </c>
      <c r="B101" s="285">
        <v>17.2</v>
      </c>
      <c r="C101" s="710">
        <v>9.4</v>
      </c>
      <c r="D101" s="277">
        <v>13.3</v>
      </c>
      <c r="E101" s="294">
        <v>6.8</v>
      </c>
      <c r="F101" s="702"/>
      <c r="G101" s="708">
        <v>96</v>
      </c>
      <c r="H101" s="313">
        <v>86</v>
      </c>
      <c r="I101" s="288">
        <v>92</v>
      </c>
      <c r="J101" s="709">
        <v>0.77</v>
      </c>
      <c r="K101" s="52">
        <v>1.2</v>
      </c>
      <c r="L101" s="61">
        <v>2</v>
      </c>
      <c r="M101" s="293"/>
    </row>
    <row r="102" spans="1:13" ht="15.5" x14ac:dyDescent="0.35">
      <c r="A102" s="223">
        <v>4</v>
      </c>
      <c r="B102" s="285">
        <v>18.399999999999999</v>
      </c>
      <c r="C102" s="710">
        <v>11</v>
      </c>
      <c r="D102" s="277">
        <v>14.5</v>
      </c>
      <c r="E102" s="294">
        <v>8.6</v>
      </c>
      <c r="F102" s="702">
        <v>0.7</v>
      </c>
      <c r="G102" s="708">
        <v>94</v>
      </c>
      <c r="H102" s="313">
        <v>76</v>
      </c>
      <c r="I102" s="288">
        <v>90</v>
      </c>
      <c r="J102" s="709">
        <v>0.66</v>
      </c>
      <c r="K102" s="52">
        <v>0.9</v>
      </c>
      <c r="L102" s="61">
        <v>1.5</v>
      </c>
      <c r="M102" s="291"/>
    </row>
    <row r="103" spans="1:13" ht="15.5" x14ac:dyDescent="0.35">
      <c r="A103" s="223">
        <v>5</v>
      </c>
      <c r="B103" s="285">
        <v>20.399999999999999</v>
      </c>
      <c r="C103" s="286">
        <v>12</v>
      </c>
      <c r="D103" s="277">
        <v>13.7</v>
      </c>
      <c r="E103" s="294">
        <v>9.4</v>
      </c>
      <c r="F103" s="702">
        <v>0.2</v>
      </c>
      <c r="G103" s="708">
        <v>91</v>
      </c>
      <c r="H103" s="313">
        <v>75</v>
      </c>
      <c r="I103" s="288">
        <v>88</v>
      </c>
      <c r="J103" s="709">
        <v>1.17</v>
      </c>
      <c r="K103" s="52">
        <v>1.5</v>
      </c>
      <c r="L103" s="61">
        <v>2.5</v>
      </c>
      <c r="M103" s="291"/>
    </row>
    <row r="104" spans="1:13" ht="15.5" x14ac:dyDescent="0.35">
      <c r="A104" s="223">
        <v>6</v>
      </c>
      <c r="B104" s="285">
        <v>20.8</v>
      </c>
      <c r="C104" s="286">
        <v>6.8</v>
      </c>
      <c r="D104" s="277">
        <v>13.8</v>
      </c>
      <c r="E104" s="287">
        <v>4.2</v>
      </c>
      <c r="F104" s="702">
        <v>22.6</v>
      </c>
      <c r="G104" s="708">
        <v>92</v>
      </c>
      <c r="H104" s="313">
        <v>78</v>
      </c>
      <c r="I104" s="288">
        <v>85</v>
      </c>
      <c r="J104" s="709">
        <v>1.26</v>
      </c>
      <c r="K104" s="52">
        <v>1.6</v>
      </c>
      <c r="L104" s="61">
        <v>2.5</v>
      </c>
      <c r="M104" s="291"/>
    </row>
    <row r="105" spans="1:13" ht="15.5" x14ac:dyDescent="0.35">
      <c r="A105" s="223">
        <v>7</v>
      </c>
      <c r="B105" s="285">
        <v>20.399999999999999</v>
      </c>
      <c r="C105" s="286">
        <v>11.2</v>
      </c>
      <c r="D105" s="277">
        <v>13.399999999999999</v>
      </c>
      <c r="E105" s="294">
        <v>9.4</v>
      </c>
      <c r="F105" s="702"/>
      <c r="G105" s="708">
        <v>96</v>
      </c>
      <c r="H105" s="313">
        <v>72</v>
      </c>
      <c r="I105" s="288">
        <v>92</v>
      </c>
      <c r="J105" s="709">
        <v>0.78</v>
      </c>
      <c r="K105" s="52">
        <v>1</v>
      </c>
      <c r="L105" s="61">
        <v>2</v>
      </c>
      <c r="M105" s="291"/>
    </row>
    <row r="106" spans="1:13" ht="15.5" x14ac:dyDescent="0.35">
      <c r="A106" s="223">
        <v>8</v>
      </c>
      <c r="B106" s="711">
        <v>19.600000000000001</v>
      </c>
      <c r="C106" s="286">
        <v>10</v>
      </c>
      <c r="D106" s="277">
        <v>14.5</v>
      </c>
      <c r="E106" s="294">
        <v>7.8</v>
      </c>
      <c r="F106" s="702"/>
      <c r="G106" s="712">
        <v>84</v>
      </c>
      <c r="H106" s="713">
        <v>68</v>
      </c>
      <c r="I106" s="292">
        <v>81</v>
      </c>
      <c r="J106" s="709">
        <v>1.57</v>
      </c>
      <c r="K106" s="52">
        <v>2.1</v>
      </c>
      <c r="L106" s="61">
        <v>3.5</v>
      </c>
      <c r="M106" s="291"/>
    </row>
    <row r="107" spans="1:13" ht="15.5" x14ac:dyDescent="0.35">
      <c r="A107" s="223">
        <v>9</v>
      </c>
      <c r="B107" s="285">
        <v>21.8</v>
      </c>
      <c r="C107" s="286">
        <v>11.4</v>
      </c>
      <c r="D107" s="277">
        <v>14.600000000000001</v>
      </c>
      <c r="E107" s="294">
        <v>9.6</v>
      </c>
      <c r="F107" s="702">
        <v>13</v>
      </c>
      <c r="G107" s="708">
        <v>89</v>
      </c>
      <c r="H107" s="313">
        <v>64</v>
      </c>
      <c r="I107" s="288">
        <v>90</v>
      </c>
      <c r="J107" s="709">
        <v>2.71</v>
      </c>
      <c r="K107" s="52">
        <v>3.2</v>
      </c>
      <c r="L107" s="61">
        <v>5</v>
      </c>
      <c r="M107" s="291"/>
    </row>
    <row r="108" spans="1:13" ht="16" thickBot="1" x14ac:dyDescent="0.4">
      <c r="A108" s="311">
        <v>10</v>
      </c>
      <c r="B108" s="285">
        <v>17.2</v>
      </c>
      <c r="C108" s="286">
        <v>10</v>
      </c>
      <c r="D108" s="277">
        <v>12.399999999999999</v>
      </c>
      <c r="E108" s="294">
        <v>7.4</v>
      </c>
      <c r="F108" s="702"/>
      <c r="G108" s="712">
        <v>91</v>
      </c>
      <c r="H108" s="313">
        <v>75</v>
      </c>
      <c r="I108" s="288">
        <v>90</v>
      </c>
      <c r="J108" s="709">
        <v>3.1</v>
      </c>
      <c r="K108" s="52">
        <v>3.5</v>
      </c>
      <c r="L108" s="61">
        <v>6</v>
      </c>
      <c r="M108" s="297"/>
    </row>
    <row r="109" spans="1:13" ht="16" thickBot="1" x14ac:dyDescent="0.4">
      <c r="A109" s="501" t="s">
        <v>35</v>
      </c>
      <c r="B109" s="299">
        <f t="shared" ref="B109:M109" si="20">SUM(B99:B108)</f>
        <v>190.2</v>
      </c>
      <c r="C109" s="299">
        <f t="shared" si="20"/>
        <v>93.8</v>
      </c>
      <c r="D109" s="299">
        <f t="shared" si="20"/>
        <v>136.69999999999999</v>
      </c>
      <c r="E109" s="305">
        <f t="shared" si="20"/>
        <v>72.2</v>
      </c>
      <c r="F109" s="300">
        <f t="shared" si="20"/>
        <v>36.5</v>
      </c>
      <c r="G109" s="714">
        <f t="shared" si="20"/>
        <v>922</v>
      </c>
      <c r="H109" s="715">
        <f t="shared" si="20"/>
        <v>759</v>
      </c>
      <c r="I109" s="716">
        <f t="shared" si="20"/>
        <v>891</v>
      </c>
      <c r="J109" s="717">
        <f t="shared" si="20"/>
        <v>14.859999999999998</v>
      </c>
      <c r="K109" s="299">
        <f t="shared" si="20"/>
        <v>18.899999999999999</v>
      </c>
      <c r="L109" s="305">
        <f t="shared" si="20"/>
        <v>31.5</v>
      </c>
      <c r="M109" s="305">
        <f t="shared" si="20"/>
        <v>0</v>
      </c>
    </row>
    <row r="110" spans="1:13" ht="15.75" customHeight="1" x14ac:dyDescent="0.35">
      <c r="A110" s="316">
        <v>11</v>
      </c>
      <c r="B110" s="285">
        <v>20.399999999999999</v>
      </c>
      <c r="C110" s="286">
        <v>10.6</v>
      </c>
      <c r="D110" s="277">
        <v>12.2</v>
      </c>
      <c r="E110" s="294">
        <v>8.1999999999999993</v>
      </c>
      <c r="F110" s="702"/>
      <c r="G110" s="712">
        <v>86</v>
      </c>
      <c r="H110" s="313">
        <v>50</v>
      </c>
      <c r="I110" s="288">
        <v>82</v>
      </c>
      <c r="J110" s="709">
        <v>2.17</v>
      </c>
      <c r="K110" s="52">
        <v>2.8</v>
      </c>
      <c r="L110" s="61">
        <v>4.5</v>
      </c>
      <c r="M110" s="307"/>
    </row>
    <row r="111" spans="1:13" ht="15.5" x14ac:dyDescent="0.35">
      <c r="A111" s="223">
        <v>12</v>
      </c>
      <c r="B111" s="285">
        <v>18.600000000000001</v>
      </c>
      <c r="C111" s="286">
        <v>11</v>
      </c>
      <c r="D111" s="277">
        <v>9.8000000000000007</v>
      </c>
      <c r="E111" s="294">
        <v>9</v>
      </c>
      <c r="F111" s="702">
        <v>2.5</v>
      </c>
      <c r="G111" s="712">
        <v>86</v>
      </c>
      <c r="H111" s="313">
        <v>72</v>
      </c>
      <c r="I111" s="288">
        <v>84</v>
      </c>
      <c r="J111" s="709">
        <v>1.6</v>
      </c>
      <c r="K111" s="52">
        <v>2.2000000000000002</v>
      </c>
      <c r="L111" s="707">
        <v>3.5</v>
      </c>
      <c r="M111" s="291"/>
    </row>
    <row r="112" spans="1:13" ht="15.5" x14ac:dyDescent="0.35">
      <c r="A112" s="223">
        <v>13</v>
      </c>
      <c r="B112" s="285">
        <v>20</v>
      </c>
      <c r="C112" s="286">
        <v>12.2</v>
      </c>
      <c r="D112" s="277">
        <v>12</v>
      </c>
      <c r="E112" s="287">
        <v>10.4</v>
      </c>
      <c r="F112" s="702">
        <v>0.9</v>
      </c>
      <c r="G112" s="712">
        <v>88</v>
      </c>
      <c r="H112" s="313">
        <v>52</v>
      </c>
      <c r="I112" s="288">
        <v>84</v>
      </c>
      <c r="J112" s="709">
        <v>2.4700000000000002</v>
      </c>
      <c r="K112" s="52">
        <v>2.5</v>
      </c>
      <c r="L112" s="707">
        <v>4</v>
      </c>
      <c r="M112" s="293"/>
    </row>
    <row r="113" spans="1:13" ht="15.5" x14ac:dyDescent="0.35">
      <c r="A113" s="223">
        <v>14</v>
      </c>
      <c r="B113" s="285">
        <v>20.8</v>
      </c>
      <c r="C113" s="286">
        <v>10</v>
      </c>
      <c r="D113" s="277">
        <v>13.7</v>
      </c>
      <c r="E113" s="294">
        <v>8.6</v>
      </c>
      <c r="F113" s="702">
        <v>0.2</v>
      </c>
      <c r="G113" s="712">
        <v>87</v>
      </c>
      <c r="H113" s="313">
        <v>54</v>
      </c>
      <c r="I113" s="288">
        <v>88</v>
      </c>
      <c r="J113" s="709">
        <v>2.33</v>
      </c>
      <c r="K113" s="52">
        <v>2.9</v>
      </c>
      <c r="L113" s="707">
        <v>4.5</v>
      </c>
      <c r="M113" s="291"/>
    </row>
    <row r="114" spans="1:13" ht="15.5" x14ac:dyDescent="0.35">
      <c r="A114" s="223">
        <v>15</v>
      </c>
      <c r="B114" s="285">
        <v>21.2</v>
      </c>
      <c r="C114" s="317">
        <v>9</v>
      </c>
      <c r="D114" s="277">
        <v>15.5</v>
      </c>
      <c r="E114" s="718">
        <v>7</v>
      </c>
      <c r="F114" s="702"/>
      <c r="G114" s="712">
        <v>91</v>
      </c>
      <c r="H114" s="313">
        <v>67</v>
      </c>
      <c r="I114" s="288">
        <v>87</v>
      </c>
      <c r="J114" s="709">
        <v>2.76</v>
      </c>
      <c r="K114" s="52">
        <v>3.4</v>
      </c>
      <c r="L114" s="707">
        <v>5.5</v>
      </c>
      <c r="M114" s="291"/>
    </row>
    <row r="115" spans="1:13" ht="15.5" x14ac:dyDescent="0.35">
      <c r="A115" s="223">
        <v>16</v>
      </c>
      <c r="B115" s="719">
        <v>22.6</v>
      </c>
      <c r="C115" s="720">
        <v>6.2</v>
      </c>
      <c r="D115" s="277">
        <v>13.9</v>
      </c>
      <c r="E115" s="718">
        <v>4.4000000000000004</v>
      </c>
      <c r="F115" s="702"/>
      <c r="G115" s="712">
        <v>94</v>
      </c>
      <c r="H115" s="313">
        <v>52</v>
      </c>
      <c r="I115" s="288">
        <v>86</v>
      </c>
      <c r="J115" s="709">
        <v>1.59</v>
      </c>
      <c r="K115" s="52">
        <v>1.8</v>
      </c>
      <c r="L115" s="707">
        <v>3</v>
      </c>
      <c r="M115" s="291"/>
    </row>
    <row r="116" spans="1:13" ht="15.5" x14ac:dyDescent="0.35">
      <c r="A116" s="223">
        <v>17</v>
      </c>
      <c r="B116" s="721">
        <v>22.8</v>
      </c>
      <c r="C116" s="308">
        <v>8.8000000000000007</v>
      </c>
      <c r="D116" s="277">
        <v>15.8</v>
      </c>
      <c r="E116" s="722">
        <v>5.8</v>
      </c>
      <c r="F116" s="702"/>
      <c r="G116" s="712">
        <v>94</v>
      </c>
      <c r="H116" s="723">
        <v>59</v>
      </c>
      <c r="I116" s="724">
        <v>87</v>
      </c>
      <c r="J116" s="709">
        <v>1.89</v>
      </c>
      <c r="K116" s="52">
        <v>2.2000000000000002</v>
      </c>
      <c r="L116" s="707">
        <v>3.5</v>
      </c>
      <c r="M116" s="291"/>
    </row>
    <row r="117" spans="1:13" ht="15.5" x14ac:dyDescent="0.35">
      <c r="A117" s="223">
        <v>18</v>
      </c>
      <c r="B117" s="285">
        <v>24</v>
      </c>
      <c r="C117" s="286">
        <v>7.4</v>
      </c>
      <c r="D117" s="277">
        <v>15.7</v>
      </c>
      <c r="E117" s="294">
        <v>5</v>
      </c>
      <c r="F117" s="702"/>
      <c r="G117" s="708">
        <v>88</v>
      </c>
      <c r="H117" s="313">
        <v>55</v>
      </c>
      <c r="I117" s="288">
        <v>82</v>
      </c>
      <c r="J117" s="709">
        <v>2.0499999999999998</v>
      </c>
      <c r="K117" s="52">
        <v>2.2000000000000002</v>
      </c>
      <c r="L117" s="707">
        <v>3.5</v>
      </c>
      <c r="M117" s="291"/>
    </row>
    <row r="118" spans="1:13" ht="15.5" x14ac:dyDescent="0.35">
      <c r="A118" s="223">
        <v>19</v>
      </c>
      <c r="B118" s="285">
        <v>24.2</v>
      </c>
      <c r="C118" s="710">
        <v>10</v>
      </c>
      <c r="D118" s="277">
        <v>14.7</v>
      </c>
      <c r="E118" s="294">
        <v>7.2</v>
      </c>
      <c r="F118" s="702"/>
      <c r="G118" s="708">
        <v>87</v>
      </c>
      <c r="H118" s="313">
        <v>48</v>
      </c>
      <c r="I118" s="288">
        <v>80</v>
      </c>
      <c r="J118" s="709">
        <v>1.49</v>
      </c>
      <c r="K118" s="52">
        <v>1.6</v>
      </c>
      <c r="L118" s="707">
        <v>2.6</v>
      </c>
      <c r="M118" s="291"/>
    </row>
    <row r="119" spans="1:13" ht="16" thickBot="1" x14ac:dyDescent="0.4">
      <c r="A119" s="311">
        <v>20</v>
      </c>
      <c r="B119" s="285">
        <v>23.8</v>
      </c>
      <c r="C119" s="710">
        <v>11.2</v>
      </c>
      <c r="D119" s="277">
        <v>14.600000000000001</v>
      </c>
      <c r="E119" s="294">
        <v>8.6</v>
      </c>
      <c r="F119" s="702"/>
      <c r="G119" s="708">
        <v>94</v>
      </c>
      <c r="H119" s="313">
        <v>51</v>
      </c>
      <c r="I119" s="288">
        <v>87</v>
      </c>
      <c r="J119" s="709">
        <v>1.7</v>
      </c>
      <c r="K119" s="52">
        <v>1.9</v>
      </c>
      <c r="L119" s="707">
        <v>3</v>
      </c>
      <c r="M119" s="297"/>
    </row>
    <row r="120" spans="1:13" ht="16" thickBot="1" x14ac:dyDescent="0.4">
      <c r="A120" s="501" t="s">
        <v>35</v>
      </c>
      <c r="B120" s="299">
        <f t="shared" ref="B120:M120" si="21">SUM(B110:B119)</f>
        <v>218.4</v>
      </c>
      <c r="C120" s="299">
        <f t="shared" si="21"/>
        <v>96.4</v>
      </c>
      <c r="D120" s="305">
        <f t="shared" si="21"/>
        <v>137.9</v>
      </c>
      <c r="E120" s="305">
        <f t="shared" si="21"/>
        <v>74.199999999999989</v>
      </c>
      <c r="F120" s="300">
        <f t="shared" si="21"/>
        <v>3.6</v>
      </c>
      <c r="G120" s="714">
        <f t="shared" si="21"/>
        <v>895</v>
      </c>
      <c r="H120" s="715">
        <f t="shared" si="21"/>
        <v>560</v>
      </c>
      <c r="I120" s="716">
        <f t="shared" si="21"/>
        <v>847</v>
      </c>
      <c r="J120" s="717">
        <f t="shared" si="21"/>
        <v>20.049999999999997</v>
      </c>
      <c r="K120" s="299">
        <f t="shared" si="21"/>
        <v>23.5</v>
      </c>
      <c r="L120" s="314">
        <f t="shared" si="21"/>
        <v>37.6</v>
      </c>
      <c r="M120" s="315">
        <f t="shared" si="21"/>
        <v>0</v>
      </c>
    </row>
    <row r="121" spans="1:13" ht="15.75" customHeight="1" x14ac:dyDescent="0.35">
      <c r="A121" s="316">
        <v>21</v>
      </c>
      <c r="B121" s="285">
        <v>20.8</v>
      </c>
      <c r="C121" s="286">
        <v>10.4</v>
      </c>
      <c r="D121" s="277">
        <v>15.2</v>
      </c>
      <c r="E121" s="294">
        <v>8.1999999999999993</v>
      </c>
      <c r="F121" s="702"/>
      <c r="G121" s="708">
        <v>86</v>
      </c>
      <c r="H121" s="290">
        <v>79</v>
      </c>
      <c r="I121" s="290">
        <v>84</v>
      </c>
      <c r="J121" s="709">
        <v>1.41</v>
      </c>
      <c r="K121" s="52">
        <v>1.8</v>
      </c>
      <c r="L121" s="707">
        <v>3</v>
      </c>
      <c r="M121" s="307"/>
    </row>
    <row r="122" spans="1:13" ht="15.5" x14ac:dyDescent="0.35">
      <c r="A122" s="223">
        <v>22</v>
      </c>
      <c r="B122" s="285">
        <v>20.6</v>
      </c>
      <c r="C122" s="286">
        <v>11</v>
      </c>
      <c r="D122" s="277">
        <f t="shared" ref="D122:D128" si="22">(B122+C122)/2</f>
        <v>15.8</v>
      </c>
      <c r="E122" s="294">
        <v>9.4</v>
      </c>
      <c r="F122" s="702"/>
      <c r="G122" s="725">
        <v>93</v>
      </c>
      <c r="H122" s="290">
        <v>78</v>
      </c>
      <c r="I122" s="288">
        <v>91</v>
      </c>
      <c r="J122" s="709">
        <v>2.1800000000000002</v>
      </c>
      <c r="K122" s="52">
        <v>2.8</v>
      </c>
      <c r="L122" s="707">
        <v>4.5</v>
      </c>
      <c r="M122" s="291"/>
    </row>
    <row r="123" spans="1:13" ht="15.5" x14ac:dyDescent="0.35">
      <c r="A123" s="223">
        <v>23</v>
      </c>
      <c r="B123" s="285">
        <v>20</v>
      </c>
      <c r="C123" s="286">
        <v>7.4</v>
      </c>
      <c r="D123" s="277">
        <f t="shared" si="22"/>
        <v>13.7</v>
      </c>
      <c r="E123" s="287">
        <v>5.6</v>
      </c>
      <c r="F123" s="702"/>
      <c r="G123" s="725">
        <v>91</v>
      </c>
      <c r="H123" s="290">
        <v>77</v>
      </c>
      <c r="I123" s="288">
        <v>90</v>
      </c>
      <c r="J123" s="709">
        <v>1.5</v>
      </c>
      <c r="K123" s="52">
        <v>2</v>
      </c>
      <c r="L123" s="707">
        <v>3.5</v>
      </c>
      <c r="M123" s="291"/>
    </row>
    <row r="124" spans="1:13" ht="15.5" x14ac:dyDescent="0.35">
      <c r="A124" s="223">
        <v>24</v>
      </c>
      <c r="B124" s="285">
        <v>18.600000000000001</v>
      </c>
      <c r="C124" s="286">
        <v>6.6</v>
      </c>
      <c r="D124" s="277">
        <f t="shared" si="22"/>
        <v>12.600000000000001</v>
      </c>
      <c r="E124" s="287">
        <v>4.8</v>
      </c>
      <c r="F124" s="702">
        <v>3.1</v>
      </c>
      <c r="G124" s="726">
        <v>88</v>
      </c>
      <c r="H124" s="290">
        <v>83</v>
      </c>
      <c r="I124" s="290">
        <v>86</v>
      </c>
      <c r="J124" s="709">
        <v>1.68</v>
      </c>
      <c r="K124" s="52">
        <v>2.2999999999999998</v>
      </c>
      <c r="L124" s="707">
        <v>3.5</v>
      </c>
      <c r="M124" s="291"/>
    </row>
    <row r="125" spans="1:13" ht="15.5" x14ac:dyDescent="0.35">
      <c r="A125" s="223">
        <v>25</v>
      </c>
      <c r="B125" s="285">
        <v>19.600000000000001</v>
      </c>
      <c r="C125" s="286">
        <v>7.2</v>
      </c>
      <c r="D125" s="277">
        <f t="shared" si="22"/>
        <v>13.4</v>
      </c>
      <c r="E125" s="287">
        <v>5</v>
      </c>
      <c r="F125" s="702"/>
      <c r="G125" s="727">
        <v>86</v>
      </c>
      <c r="H125" s="290">
        <v>75</v>
      </c>
      <c r="I125" s="288">
        <v>83</v>
      </c>
      <c r="J125" s="709">
        <v>1.26</v>
      </c>
      <c r="K125" s="52">
        <v>1.7</v>
      </c>
      <c r="L125" s="707">
        <v>3</v>
      </c>
      <c r="M125" s="291"/>
    </row>
    <row r="126" spans="1:13" ht="15.5" x14ac:dyDescent="0.35">
      <c r="A126" s="223">
        <v>26</v>
      </c>
      <c r="B126" s="285">
        <v>21.6</v>
      </c>
      <c r="C126" s="710">
        <v>7</v>
      </c>
      <c r="D126" s="277">
        <f t="shared" si="22"/>
        <v>14.3</v>
      </c>
      <c r="E126" s="294">
        <v>4.8</v>
      </c>
      <c r="F126" s="702"/>
      <c r="G126" s="727">
        <v>87</v>
      </c>
      <c r="H126" s="290">
        <v>66</v>
      </c>
      <c r="I126" s="290">
        <v>84</v>
      </c>
      <c r="J126" s="709">
        <v>1.3</v>
      </c>
      <c r="K126" s="52">
        <v>1.6</v>
      </c>
      <c r="L126" s="707">
        <v>2.5</v>
      </c>
      <c r="M126" s="291"/>
    </row>
    <row r="127" spans="1:13" ht="15.5" x14ac:dyDescent="0.35">
      <c r="A127" s="223">
        <v>27</v>
      </c>
      <c r="B127" s="285">
        <v>21</v>
      </c>
      <c r="C127" s="710">
        <v>6.2</v>
      </c>
      <c r="D127" s="277">
        <f t="shared" si="22"/>
        <v>13.6</v>
      </c>
      <c r="E127" s="294">
        <v>3.8</v>
      </c>
      <c r="F127" s="702"/>
      <c r="G127" s="727">
        <v>89</v>
      </c>
      <c r="H127" s="290">
        <v>73</v>
      </c>
      <c r="I127" s="290">
        <v>84</v>
      </c>
      <c r="J127" s="709">
        <v>1.62</v>
      </c>
      <c r="K127" s="52">
        <v>2</v>
      </c>
      <c r="L127" s="707">
        <v>3.5</v>
      </c>
      <c r="M127" s="291"/>
    </row>
    <row r="128" spans="1:13" ht="15.5" x14ac:dyDescent="0.35">
      <c r="A128" s="223">
        <v>28</v>
      </c>
      <c r="B128" s="285">
        <v>21.6</v>
      </c>
      <c r="C128" s="710">
        <v>7</v>
      </c>
      <c r="D128" s="277">
        <f t="shared" si="22"/>
        <v>14.3</v>
      </c>
      <c r="E128" s="294">
        <v>5.6</v>
      </c>
      <c r="F128" s="279"/>
      <c r="G128" s="727">
        <v>91</v>
      </c>
      <c r="H128" s="290">
        <v>84</v>
      </c>
      <c r="I128" s="290">
        <v>87</v>
      </c>
      <c r="J128" s="709">
        <v>1.37</v>
      </c>
      <c r="K128" s="52">
        <v>1.6</v>
      </c>
      <c r="L128" s="707">
        <v>2.5</v>
      </c>
      <c r="M128" s="291"/>
    </row>
    <row r="129" spans="1:13" ht="15.5" x14ac:dyDescent="0.35">
      <c r="A129" s="223">
        <v>29</v>
      </c>
      <c r="B129" s="285">
        <v>26.6</v>
      </c>
      <c r="C129" s="286">
        <v>5.8</v>
      </c>
      <c r="D129" s="277">
        <v>16.3</v>
      </c>
      <c r="E129" s="294">
        <v>4.2</v>
      </c>
      <c r="F129" s="279"/>
      <c r="G129" s="708">
        <v>82</v>
      </c>
      <c r="H129" s="313">
        <v>46</v>
      </c>
      <c r="I129" s="288">
        <v>80</v>
      </c>
      <c r="J129" s="709">
        <v>1.1399999999999999</v>
      </c>
      <c r="K129" s="52">
        <v>1.1000000000000001</v>
      </c>
      <c r="L129" s="707">
        <v>2</v>
      </c>
      <c r="M129" s="291"/>
    </row>
    <row r="130" spans="1:13" ht="15.5" x14ac:dyDescent="0.35">
      <c r="A130" s="223">
        <v>30</v>
      </c>
      <c r="B130" s="285">
        <v>26.8</v>
      </c>
      <c r="C130" s="286">
        <v>7</v>
      </c>
      <c r="D130" s="277">
        <v>17.399999999999999</v>
      </c>
      <c r="E130" s="294">
        <v>6</v>
      </c>
      <c r="F130" s="279"/>
      <c r="G130" s="708">
        <v>83</v>
      </c>
      <c r="H130" s="313">
        <v>41</v>
      </c>
      <c r="I130" s="288">
        <v>82</v>
      </c>
      <c r="J130" s="709">
        <v>1.74</v>
      </c>
      <c r="K130" s="52">
        <v>1.7</v>
      </c>
      <c r="L130" s="707">
        <v>3</v>
      </c>
      <c r="M130" s="291"/>
    </row>
    <row r="131" spans="1:13" ht="16" thickBot="1" x14ac:dyDescent="0.4">
      <c r="A131" s="311">
        <v>31</v>
      </c>
      <c r="B131" s="285">
        <v>24</v>
      </c>
      <c r="C131" s="286">
        <v>5.4</v>
      </c>
      <c r="D131" s="277">
        <f>(B131+C131)/2</f>
        <v>14.7</v>
      </c>
      <c r="E131" s="294">
        <v>3.8</v>
      </c>
      <c r="F131" s="322"/>
      <c r="G131" s="727">
        <v>88</v>
      </c>
      <c r="H131" s="290">
        <v>63</v>
      </c>
      <c r="I131" s="290">
        <v>84</v>
      </c>
      <c r="J131" s="728">
        <v>1.1299999999999999</v>
      </c>
      <c r="K131" s="660">
        <v>1.2</v>
      </c>
      <c r="L131" s="707">
        <v>2</v>
      </c>
      <c r="M131" s="328"/>
    </row>
    <row r="132" spans="1:13" ht="16" thickBot="1" x14ac:dyDescent="0.4">
      <c r="A132" s="236" t="s">
        <v>35</v>
      </c>
      <c r="B132" s="245">
        <f t="shared" ref="B132:M132" si="23">SUM(B121:B131)</f>
        <v>241.2</v>
      </c>
      <c r="C132" s="245">
        <f t="shared" si="23"/>
        <v>81.000000000000014</v>
      </c>
      <c r="D132" s="245">
        <f t="shared" si="23"/>
        <v>161.29999999999998</v>
      </c>
      <c r="E132" s="334">
        <f t="shared" si="23"/>
        <v>61.199999999999996</v>
      </c>
      <c r="F132" s="330">
        <f t="shared" si="23"/>
        <v>3.1</v>
      </c>
      <c r="G132" s="385">
        <f t="shared" si="23"/>
        <v>964</v>
      </c>
      <c r="H132" s="429">
        <f t="shared" si="23"/>
        <v>765</v>
      </c>
      <c r="I132" s="729">
        <f t="shared" si="23"/>
        <v>935</v>
      </c>
      <c r="J132" s="730">
        <f t="shared" si="23"/>
        <v>16.330000000000002</v>
      </c>
      <c r="K132" s="245">
        <f t="shared" si="23"/>
        <v>19.799999999999997</v>
      </c>
      <c r="L132" s="334">
        <f t="shared" si="23"/>
        <v>33</v>
      </c>
      <c r="M132" s="334">
        <f t="shared" si="23"/>
        <v>0</v>
      </c>
    </row>
    <row r="133" spans="1:13" ht="16" thickBot="1" x14ac:dyDescent="0.4">
      <c r="A133" s="248" t="s">
        <v>36</v>
      </c>
      <c r="B133" s="249">
        <f>B132+B120+B109</f>
        <v>649.79999999999995</v>
      </c>
      <c r="C133" s="249">
        <f t="shared" ref="C133:M133" si="24">C132+C120+C109</f>
        <v>271.20000000000005</v>
      </c>
      <c r="D133" s="249">
        <f t="shared" si="24"/>
        <v>435.9</v>
      </c>
      <c r="E133" s="257">
        <f t="shared" si="24"/>
        <v>207.59999999999997</v>
      </c>
      <c r="F133" s="336">
        <f t="shared" si="24"/>
        <v>43.2</v>
      </c>
      <c r="G133" s="257">
        <f t="shared" si="24"/>
        <v>2781</v>
      </c>
      <c r="H133" s="256">
        <f t="shared" si="24"/>
        <v>2084</v>
      </c>
      <c r="I133" s="257">
        <f t="shared" si="24"/>
        <v>2673</v>
      </c>
      <c r="J133" s="252">
        <f t="shared" si="24"/>
        <v>51.239999999999995</v>
      </c>
      <c r="K133" s="249">
        <f t="shared" si="24"/>
        <v>62.199999999999996</v>
      </c>
      <c r="L133" s="257">
        <f t="shared" si="24"/>
        <v>102.1</v>
      </c>
      <c r="M133" s="257">
        <f t="shared" si="24"/>
        <v>0</v>
      </c>
    </row>
    <row r="134" spans="1:13" ht="16" thickBot="1" x14ac:dyDescent="0.4">
      <c r="A134" s="258" t="s">
        <v>19</v>
      </c>
      <c r="B134" s="259">
        <f>B133/30</f>
        <v>21.66</v>
      </c>
      <c r="C134" s="259">
        <f t="shared" ref="C134:E134" si="25">C133/30</f>
        <v>9.0400000000000009</v>
      </c>
      <c r="D134" s="259">
        <f t="shared" si="25"/>
        <v>14.53</v>
      </c>
      <c r="E134" s="731">
        <f t="shared" si="25"/>
        <v>6.919999999999999</v>
      </c>
      <c r="F134" s="338" t="s">
        <v>44</v>
      </c>
      <c r="G134" s="257">
        <f>G133/30</f>
        <v>92.7</v>
      </c>
      <c r="H134" s="256">
        <f t="shared" ref="H134:J134" si="26">H133/30</f>
        <v>69.466666666666669</v>
      </c>
      <c r="I134" s="257">
        <f t="shared" si="26"/>
        <v>89.1</v>
      </c>
      <c r="J134" s="732">
        <f t="shared" si="26"/>
        <v>1.7079999999999997</v>
      </c>
      <c r="K134" s="267">
        <v>0</v>
      </c>
      <c r="L134" s="342">
        <v>0</v>
      </c>
      <c r="M134" s="343">
        <v>0</v>
      </c>
    </row>
    <row r="135" spans="1:13" ht="16" thickBot="1" x14ac:dyDescent="0.4">
      <c r="A135" s="6"/>
      <c r="B135" s="6"/>
      <c r="C135" s="6"/>
      <c r="D135" s="6"/>
      <c r="E135" s="6"/>
      <c r="F135" s="4"/>
      <c r="G135" s="4"/>
      <c r="H135" s="4"/>
      <c r="I135" s="4"/>
      <c r="J135" s="4"/>
      <c r="K135" s="4"/>
      <c r="L135" s="4"/>
      <c r="M135" s="4"/>
    </row>
    <row r="136" spans="1:13" ht="16" thickBot="1" x14ac:dyDescent="0.4">
      <c r="A136" s="1" t="s">
        <v>0</v>
      </c>
      <c r="B136" s="2"/>
      <c r="C136" s="2"/>
      <c r="D136" s="2"/>
      <c r="E136" s="2"/>
      <c r="F136" s="3"/>
      <c r="G136" s="4"/>
      <c r="H136" s="4"/>
      <c r="I136" s="4"/>
      <c r="J136" s="4"/>
      <c r="K136" s="4"/>
      <c r="L136" s="4"/>
      <c r="M136" s="4"/>
    </row>
    <row r="137" spans="1:13" ht="15.5" x14ac:dyDescent="0.35">
      <c r="A137" s="5" t="s">
        <v>2</v>
      </c>
      <c r="B137" s="6"/>
      <c r="C137" s="6"/>
      <c r="D137" s="6"/>
      <c r="E137" s="6"/>
      <c r="F137" s="7"/>
      <c r="G137" s="4"/>
      <c r="H137" s="4"/>
      <c r="I137" s="1" t="s">
        <v>3</v>
      </c>
      <c r="J137" s="2"/>
      <c r="K137" s="2"/>
      <c r="L137" s="2"/>
      <c r="M137" s="8"/>
    </row>
    <row r="138" spans="1:13" ht="15.5" x14ac:dyDescent="0.35">
      <c r="A138" s="5" t="s">
        <v>4</v>
      </c>
      <c r="B138" s="6"/>
      <c r="C138" s="6"/>
      <c r="D138" s="6"/>
      <c r="E138" s="6"/>
      <c r="F138" s="7"/>
      <c r="G138" s="4"/>
      <c r="H138" s="4"/>
      <c r="I138" s="5" t="s">
        <v>61</v>
      </c>
      <c r="J138" s="6"/>
      <c r="K138" s="6"/>
      <c r="L138" s="9"/>
      <c r="M138" s="10"/>
    </row>
    <row r="139" spans="1:13" ht="16" thickBot="1" x14ac:dyDescent="0.4">
      <c r="A139" s="11" t="s">
        <v>6</v>
      </c>
      <c r="B139" s="12"/>
      <c r="C139" s="12"/>
      <c r="D139" s="12"/>
      <c r="E139" s="12"/>
      <c r="F139" s="13"/>
      <c r="G139" s="4"/>
      <c r="H139" s="4"/>
      <c r="I139" s="11" t="s">
        <v>7</v>
      </c>
      <c r="J139" s="12"/>
      <c r="K139" s="12"/>
      <c r="L139" s="14" t="s">
        <v>43</v>
      </c>
      <c r="M139" s="15"/>
    </row>
    <row r="140" spans="1:13" ht="26" thickBot="1" x14ac:dyDescent="0.65">
      <c r="A140" s="17" t="s">
        <v>39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x14ac:dyDescent="0.35">
      <c r="A141" s="915" t="s">
        <v>10</v>
      </c>
      <c r="B141" s="918" t="s">
        <v>11</v>
      </c>
      <c r="C141" s="919"/>
      <c r="D141" s="919"/>
      <c r="E141" s="920"/>
      <c r="F141" s="129" t="s">
        <v>12</v>
      </c>
      <c r="G141" s="918" t="s">
        <v>13</v>
      </c>
      <c r="H141" s="919"/>
      <c r="I141" s="920"/>
      <c r="J141" s="132" t="s">
        <v>14</v>
      </c>
      <c r="K141" s="919" t="s">
        <v>15</v>
      </c>
      <c r="L141" s="920"/>
      <c r="M141" s="132" t="s">
        <v>16</v>
      </c>
    </row>
    <row r="142" spans="1:13" ht="15" thickBot="1" x14ac:dyDescent="0.4">
      <c r="A142" s="916"/>
      <c r="B142" s="134" t="s">
        <v>17</v>
      </c>
      <c r="C142" s="135" t="s">
        <v>18</v>
      </c>
      <c r="D142" s="135" t="s">
        <v>19</v>
      </c>
      <c r="E142" s="200" t="s">
        <v>18</v>
      </c>
      <c r="F142" s="138" t="s">
        <v>20</v>
      </c>
      <c r="G142" s="924" t="s">
        <v>21</v>
      </c>
      <c r="H142" s="925"/>
      <c r="I142" s="926"/>
      <c r="J142" s="140" t="s">
        <v>22</v>
      </c>
      <c r="K142" s="925" t="s">
        <v>23</v>
      </c>
      <c r="L142" s="926"/>
      <c r="M142" s="140" t="s">
        <v>24</v>
      </c>
    </row>
    <row r="143" spans="1:13" ht="15" thickBot="1" x14ac:dyDescent="0.4">
      <c r="A143" s="917"/>
      <c r="B143" s="142" t="s">
        <v>25</v>
      </c>
      <c r="C143" s="143" t="s">
        <v>25</v>
      </c>
      <c r="D143" s="143"/>
      <c r="E143" s="201" t="s">
        <v>26</v>
      </c>
      <c r="F143" s="270" t="s">
        <v>27</v>
      </c>
      <c r="G143" s="271" t="s">
        <v>28</v>
      </c>
      <c r="H143" s="272" t="s">
        <v>29</v>
      </c>
      <c r="I143" s="273" t="s">
        <v>30</v>
      </c>
      <c r="J143" s="274" t="s">
        <v>31</v>
      </c>
      <c r="K143" s="146" t="s">
        <v>32</v>
      </c>
      <c r="L143" s="148" t="s">
        <v>33</v>
      </c>
      <c r="M143" s="150" t="s">
        <v>34</v>
      </c>
    </row>
    <row r="144" spans="1:13" ht="15.5" x14ac:dyDescent="0.35">
      <c r="A144" s="204">
        <v>1</v>
      </c>
      <c r="B144" s="733">
        <v>20.6</v>
      </c>
      <c r="C144" s="734">
        <v>8.4</v>
      </c>
      <c r="D144" s="734">
        <f t="shared" ref="D144:D149" si="27">(B144+C144)/2</f>
        <v>14.5</v>
      </c>
      <c r="E144" s="735">
        <v>5.6</v>
      </c>
      <c r="F144" s="279"/>
      <c r="G144" s="736">
        <v>91</v>
      </c>
      <c r="H144" s="737">
        <v>75</v>
      </c>
      <c r="I144" s="738">
        <v>88</v>
      </c>
      <c r="J144" s="705">
        <v>1.34</v>
      </c>
      <c r="K144" s="739">
        <v>1.5</v>
      </c>
      <c r="L144" s="740">
        <v>2.5</v>
      </c>
      <c r="M144" s="284"/>
    </row>
    <row r="145" spans="1:13" ht="15.5" x14ac:dyDescent="0.35">
      <c r="A145" s="209">
        <v>2</v>
      </c>
      <c r="B145" s="741">
        <v>19</v>
      </c>
      <c r="C145" s="742">
        <v>4.8</v>
      </c>
      <c r="D145" s="743">
        <f t="shared" si="27"/>
        <v>11.9</v>
      </c>
      <c r="E145" s="744">
        <v>3</v>
      </c>
      <c r="F145" s="279"/>
      <c r="G145" s="745">
        <v>98</v>
      </c>
      <c r="H145" s="746">
        <v>85</v>
      </c>
      <c r="I145" s="747">
        <v>92</v>
      </c>
      <c r="J145" s="709">
        <v>1.49</v>
      </c>
      <c r="K145" s="710">
        <v>2</v>
      </c>
      <c r="L145" s="294">
        <v>3.5</v>
      </c>
      <c r="M145" s="291"/>
    </row>
    <row r="146" spans="1:13" ht="15.5" x14ac:dyDescent="0.35">
      <c r="A146" s="209">
        <v>3</v>
      </c>
      <c r="B146" s="741">
        <v>20.6</v>
      </c>
      <c r="C146" s="748">
        <v>8</v>
      </c>
      <c r="D146" s="743">
        <f t="shared" si="27"/>
        <v>14.3</v>
      </c>
      <c r="E146" s="744">
        <v>5</v>
      </c>
      <c r="F146" s="279"/>
      <c r="G146" s="745">
        <v>93</v>
      </c>
      <c r="H146" s="746">
        <v>65</v>
      </c>
      <c r="I146" s="747">
        <v>90</v>
      </c>
      <c r="J146" s="709">
        <v>1.53</v>
      </c>
      <c r="K146" s="710">
        <v>1.9</v>
      </c>
      <c r="L146" s="294">
        <v>3</v>
      </c>
      <c r="M146" s="293"/>
    </row>
    <row r="147" spans="1:13" ht="15.5" x14ac:dyDescent="0.35">
      <c r="A147" s="209">
        <v>4</v>
      </c>
      <c r="B147" s="741">
        <v>20.8</v>
      </c>
      <c r="C147" s="748">
        <v>7.4</v>
      </c>
      <c r="D147" s="743">
        <f t="shared" si="27"/>
        <v>14.100000000000001</v>
      </c>
      <c r="E147" s="744">
        <v>4.8</v>
      </c>
      <c r="F147" s="279"/>
      <c r="G147" s="745">
        <v>91</v>
      </c>
      <c r="H147" s="746">
        <v>72</v>
      </c>
      <c r="I147" s="747">
        <v>87</v>
      </c>
      <c r="J147" s="709">
        <v>1.43</v>
      </c>
      <c r="K147" s="710">
        <v>1.8</v>
      </c>
      <c r="L147" s="294">
        <v>3</v>
      </c>
      <c r="M147" s="291"/>
    </row>
    <row r="148" spans="1:13" ht="15.5" x14ac:dyDescent="0.35">
      <c r="A148" s="209">
        <v>5</v>
      </c>
      <c r="B148" s="741">
        <v>22</v>
      </c>
      <c r="C148" s="742">
        <v>7</v>
      </c>
      <c r="D148" s="743">
        <f t="shared" si="27"/>
        <v>14.5</v>
      </c>
      <c r="E148" s="744">
        <v>5</v>
      </c>
      <c r="F148" s="279"/>
      <c r="G148" s="745">
        <v>89</v>
      </c>
      <c r="H148" s="746">
        <v>69</v>
      </c>
      <c r="I148" s="747">
        <v>86</v>
      </c>
      <c r="J148" s="709">
        <v>1.53</v>
      </c>
      <c r="K148" s="710">
        <v>2.1</v>
      </c>
      <c r="L148" s="294">
        <v>3.5</v>
      </c>
      <c r="M148" s="291"/>
    </row>
    <row r="149" spans="1:13" ht="15.5" x14ac:dyDescent="0.35">
      <c r="A149" s="209">
        <v>6</v>
      </c>
      <c r="B149" s="741">
        <v>21.6</v>
      </c>
      <c r="C149" s="742">
        <v>9.1999999999999993</v>
      </c>
      <c r="D149" s="743">
        <f t="shared" si="27"/>
        <v>15.4</v>
      </c>
      <c r="E149" s="749">
        <v>7.6</v>
      </c>
      <c r="F149" s="279"/>
      <c r="G149" s="745">
        <v>90</v>
      </c>
      <c r="H149" s="746">
        <v>76</v>
      </c>
      <c r="I149" s="747">
        <v>87</v>
      </c>
      <c r="J149" s="709">
        <v>1.7</v>
      </c>
      <c r="K149" s="710">
        <v>2</v>
      </c>
      <c r="L149" s="294">
        <v>3.5</v>
      </c>
      <c r="M149" s="291"/>
    </row>
    <row r="150" spans="1:13" ht="15.5" x14ac:dyDescent="0.35">
      <c r="A150" s="209">
        <v>7</v>
      </c>
      <c r="B150" s="741">
        <v>21.4</v>
      </c>
      <c r="C150" s="742">
        <v>2.8</v>
      </c>
      <c r="D150" s="743">
        <v>12.1</v>
      </c>
      <c r="E150" s="744">
        <v>1.4</v>
      </c>
      <c r="F150" s="279"/>
      <c r="G150" s="745">
        <v>85</v>
      </c>
      <c r="H150" s="746">
        <v>60</v>
      </c>
      <c r="I150" s="747">
        <v>80</v>
      </c>
      <c r="J150" s="709">
        <v>1.2</v>
      </c>
      <c r="K150" s="710">
        <v>1.5</v>
      </c>
      <c r="L150" s="294">
        <v>2.5</v>
      </c>
      <c r="M150" s="291"/>
    </row>
    <row r="151" spans="1:13" ht="15.5" x14ac:dyDescent="0.35">
      <c r="A151" s="209">
        <v>8</v>
      </c>
      <c r="B151" s="741">
        <v>20.8</v>
      </c>
      <c r="C151" s="742">
        <v>6.2</v>
      </c>
      <c r="D151" s="743">
        <v>13.5</v>
      </c>
      <c r="E151" s="744">
        <v>4.4000000000000004</v>
      </c>
      <c r="F151" s="279"/>
      <c r="G151" s="745">
        <v>95</v>
      </c>
      <c r="H151" s="746">
        <v>58</v>
      </c>
      <c r="I151" s="747">
        <v>81</v>
      </c>
      <c r="J151" s="709">
        <v>1.5</v>
      </c>
      <c r="K151" s="710">
        <v>1.9</v>
      </c>
      <c r="L151" s="294">
        <v>3</v>
      </c>
      <c r="M151" s="291"/>
    </row>
    <row r="152" spans="1:13" ht="15.5" x14ac:dyDescent="0.35">
      <c r="A152" s="209">
        <v>9</v>
      </c>
      <c r="B152" s="741">
        <v>20.6</v>
      </c>
      <c r="C152" s="742">
        <v>6.6</v>
      </c>
      <c r="D152" s="743">
        <v>13.600000000000001</v>
      </c>
      <c r="E152" s="744">
        <v>4.8</v>
      </c>
      <c r="F152" s="279"/>
      <c r="G152" s="745">
        <v>96</v>
      </c>
      <c r="H152" s="746">
        <v>62</v>
      </c>
      <c r="I152" s="747">
        <v>86</v>
      </c>
      <c r="J152" s="709">
        <v>1.33</v>
      </c>
      <c r="K152" s="710">
        <v>1.7</v>
      </c>
      <c r="L152" s="294">
        <v>3</v>
      </c>
      <c r="M152" s="291"/>
    </row>
    <row r="153" spans="1:13" ht="16" thickBot="1" x14ac:dyDescent="0.4">
      <c r="A153" s="214">
        <v>10</v>
      </c>
      <c r="B153" s="741">
        <v>20</v>
      </c>
      <c r="C153" s="742">
        <v>10.6</v>
      </c>
      <c r="D153" s="743">
        <v>15.3</v>
      </c>
      <c r="E153" s="744">
        <v>8</v>
      </c>
      <c r="F153" s="296"/>
      <c r="G153" s="750">
        <v>90</v>
      </c>
      <c r="H153" s="751">
        <v>62</v>
      </c>
      <c r="I153" s="752">
        <v>80</v>
      </c>
      <c r="J153" s="709">
        <v>1.97</v>
      </c>
      <c r="K153" s="710">
        <v>2.6</v>
      </c>
      <c r="L153" s="294">
        <v>4.5</v>
      </c>
      <c r="M153" s="297"/>
    </row>
    <row r="154" spans="1:13" ht="16" thickBot="1" x14ac:dyDescent="0.4">
      <c r="A154" s="298" t="s">
        <v>35</v>
      </c>
      <c r="B154" s="299">
        <f t="shared" ref="B154:M154" si="28">SUM(B144:B153)</f>
        <v>207.4</v>
      </c>
      <c r="C154" s="299">
        <f t="shared" si="28"/>
        <v>71</v>
      </c>
      <c r="D154" s="299">
        <f t="shared" si="28"/>
        <v>139.20000000000002</v>
      </c>
      <c r="E154" s="299">
        <f t="shared" si="28"/>
        <v>49.599999999999994</v>
      </c>
      <c r="F154" s="300">
        <f t="shared" si="28"/>
        <v>0</v>
      </c>
      <c r="G154" s="301">
        <f t="shared" si="28"/>
        <v>918</v>
      </c>
      <c r="H154" s="302">
        <f t="shared" si="28"/>
        <v>684</v>
      </c>
      <c r="I154" s="753">
        <f t="shared" si="28"/>
        <v>857</v>
      </c>
      <c r="J154" s="717">
        <f t="shared" si="28"/>
        <v>15.02</v>
      </c>
      <c r="K154" s="299">
        <f t="shared" si="28"/>
        <v>19.000000000000004</v>
      </c>
      <c r="L154" s="305">
        <f t="shared" si="28"/>
        <v>32</v>
      </c>
      <c r="M154" s="305">
        <f t="shared" si="28"/>
        <v>0</v>
      </c>
    </row>
    <row r="155" spans="1:13" ht="15.5" x14ac:dyDescent="0.35">
      <c r="A155" s="306">
        <v>11</v>
      </c>
      <c r="B155" s="741">
        <v>19.8</v>
      </c>
      <c r="C155" s="742">
        <v>3</v>
      </c>
      <c r="D155" s="743">
        <v>11.4</v>
      </c>
      <c r="E155" s="744">
        <v>1.4</v>
      </c>
      <c r="F155" s="657"/>
      <c r="G155" s="754">
        <v>97</v>
      </c>
      <c r="H155" s="755">
        <v>60</v>
      </c>
      <c r="I155" s="756">
        <v>84</v>
      </c>
      <c r="J155" s="709">
        <v>1.53</v>
      </c>
      <c r="K155" s="710">
        <v>2</v>
      </c>
      <c r="L155" s="294">
        <v>3.5</v>
      </c>
      <c r="M155" s="307"/>
    </row>
    <row r="156" spans="1:13" ht="15.5" x14ac:dyDescent="0.35">
      <c r="A156" s="209">
        <v>12</v>
      </c>
      <c r="B156" s="741">
        <v>20.8</v>
      </c>
      <c r="C156" s="748">
        <v>4.4000000000000004</v>
      </c>
      <c r="D156" s="743">
        <v>12.600000000000001</v>
      </c>
      <c r="E156" s="744">
        <v>2.8</v>
      </c>
      <c r="F156" s="757">
        <v>8.1</v>
      </c>
      <c r="G156" s="745">
        <v>95</v>
      </c>
      <c r="H156" s="746">
        <v>58</v>
      </c>
      <c r="I156" s="747">
        <v>81</v>
      </c>
      <c r="J156" s="709">
        <v>1.07</v>
      </c>
      <c r="K156" s="710">
        <v>1.3</v>
      </c>
      <c r="L156" s="740">
        <v>2</v>
      </c>
      <c r="M156" s="291"/>
    </row>
    <row r="157" spans="1:13" ht="15.5" x14ac:dyDescent="0.35">
      <c r="A157" s="209">
        <v>13</v>
      </c>
      <c r="B157" s="741">
        <v>19.8</v>
      </c>
      <c r="C157" s="748">
        <v>6.2</v>
      </c>
      <c r="D157" s="743">
        <v>13</v>
      </c>
      <c r="E157" s="744">
        <v>4</v>
      </c>
      <c r="F157" s="757">
        <v>7</v>
      </c>
      <c r="G157" s="745">
        <v>95</v>
      </c>
      <c r="H157" s="746">
        <v>66</v>
      </c>
      <c r="I157" s="747">
        <v>83</v>
      </c>
      <c r="J157" s="709">
        <v>0.95</v>
      </c>
      <c r="K157" s="710">
        <v>1.2</v>
      </c>
      <c r="L157" s="740">
        <v>2</v>
      </c>
      <c r="M157" s="293"/>
    </row>
    <row r="158" spans="1:13" ht="15.5" x14ac:dyDescent="0.35">
      <c r="A158" s="209">
        <v>14</v>
      </c>
      <c r="B158" s="741">
        <v>20</v>
      </c>
      <c r="C158" s="742">
        <v>13.6</v>
      </c>
      <c r="D158" s="743">
        <v>16.8</v>
      </c>
      <c r="E158" s="744">
        <v>12</v>
      </c>
      <c r="F158" s="757"/>
      <c r="G158" s="745">
        <v>90</v>
      </c>
      <c r="H158" s="746">
        <v>89</v>
      </c>
      <c r="I158" s="747">
        <v>90</v>
      </c>
      <c r="J158" s="709">
        <v>1.96</v>
      </c>
      <c r="K158" s="710">
        <v>2.5</v>
      </c>
      <c r="L158" s="740">
        <v>4</v>
      </c>
      <c r="M158" s="291"/>
    </row>
    <row r="159" spans="1:13" ht="15.5" x14ac:dyDescent="0.35">
      <c r="A159" s="209">
        <v>15</v>
      </c>
      <c r="B159" s="741">
        <v>22</v>
      </c>
      <c r="C159" s="742">
        <v>12</v>
      </c>
      <c r="D159" s="743">
        <v>17</v>
      </c>
      <c r="E159" s="744">
        <v>10</v>
      </c>
      <c r="F159" s="757">
        <v>7.5</v>
      </c>
      <c r="G159" s="745">
        <v>86</v>
      </c>
      <c r="H159" s="746">
        <v>56</v>
      </c>
      <c r="I159" s="747">
        <v>80</v>
      </c>
      <c r="J159" s="709">
        <v>1.98</v>
      </c>
      <c r="K159" s="710">
        <v>2.2999999999999998</v>
      </c>
      <c r="L159" s="740">
        <v>4</v>
      </c>
      <c r="M159" s="291"/>
    </row>
    <row r="160" spans="1:13" ht="15.5" x14ac:dyDescent="0.35">
      <c r="A160" s="209">
        <v>16</v>
      </c>
      <c r="B160" s="741">
        <v>27</v>
      </c>
      <c r="C160" s="742">
        <v>5.6</v>
      </c>
      <c r="D160" s="743">
        <v>16.3</v>
      </c>
      <c r="E160" s="744">
        <v>3.6</v>
      </c>
      <c r="F160" s="279"/>
      <c r="G160" s="745">
        <v>84</v>
      </c>
      <c r="H160" s="746">
        <v>48</v>
      </c>
      <c r="I160" s="747">
        <v>80</v>
      </c>
      <c r="J160" s="709">
        <v>3.62</v>
      </c>
      <c r="K160" s="710">
        <v>3.5</v>
      </c>
      <c r="L160" s="740">
        <v>6</v>
      </c>
      <c r="M160" s="291"/>
    </row>
    <row r="161" spans="1:13" ht="15.5" x14ac:dyDescent="0.35">
      <c r="A161" s="223">
        <v>17</v>
      </c>
      <c r="B161" s="741">
        <v>22</v>
      </c>
      <c r="C161" s="742">
        <v>10.199999999999999</v>
      </c>
      <c r="D161" s="743">
        <f>(B161+C161)/2</f>
        <v>16.100000000000001</v>
      </c>
      <c r="E161" s="744">
        <v>8.8000000000000007</v>
      </c>
      <c r="F161" s="279"/>
      <c r="G161" s="745">
        <v>88</v>
      </c>
      <c r="H161" s="746">
        <v>71</v>
      </c>
      <c r="I161" s="758">
        <v>84</v>
      </c>
      <c r="J161" s="709">
        <v>1.67</v>
      </c>
      <c r="K161" s="710">
        <v>2</v>
      </c>
      <c r="L161" s="740">
        <v>3.5</v>
      </c>
      <c r="M161" s="291"/>
    </row>
    <row r="162" spans="1:13" ht="15.5" x14ac:dyDescent="0.35">
      <c r="A162" s="223">
        <v>18</v>
      </c>
      <c r="B162" s="741">
        <v>23</v>
      </c>
      <c r="C162" s="742">
        <v>7.6</v>
      </c>
      <c r="D162" s="743">
        <f>(B162+C162)/2</f>
        <v>15.3</v>
      </c>
      <c r="E162" s="744">
        <v>6.2</v>
      </c>
      <c r="F162" s="279"/>
      <c r="G162" s="745">
        <v>95</v>
      </c>
      <c r="H162" s="746">
        <v>67</v>
      </c>
      <c r="I162" s="758">
        <v>93</v>
      </c>
      <c r="J162" s="709">
        <v>1.47</v>
      </c>
      <c r="K162" s="710">
        <v>1.7</v>
      </c>
      <c r="L162" s="740">
        <v>3</v>
      </c>
      <c r="M162" s="291"/>
    </row>
    <row r="163" spans="1:13" ht="15.5" x14ac:dyDescent="0.35">
      <c r="A163" s="223">
        <v>19</v>
      </c>
      <c r="B163" s="741">
        <v>23.2</v>
      </c>
      <c r="C163" s="742">
        <v>6</v>
      </c>
      <c r="D163" s="743">
        <f>(B163+C163)/2</f>
        <v>14.6</v>
      </c>
      <c r="E163" s="744">
        <v>4</v>
      </c>
      <c r="F163" s="279"/>
      <c r="G163" s="745">
        <v>88</v>
      </c>
      <c r="H163" s="746">
        <v>68</v>
      </c>
      <c r="I163" s="758">
        <v>86</v>
      </c>
      <c r="J163" s="709">
        <v>2.86</v>
      </c>
      <c r="K163" s="710">
        <v>3.2</v>
      </c>
      <c r="L163" s="740">
        <v>5</v>
      </c>
      <c r="M163" s="291"/>
    </row>
    <row r="164" spans="1:13" ht="16" thickBot="1" x14ac:dyDescent="0.4">
      <c r="A164" s="311">
        <v>20</v>
      </c>
      <c r="B164" s="741">
        <v>21</v>
      </c>
      <c r="C164" s="742">
        <v>11.6</v>
      </c>
      <c r="D164" s="743">
        <f>(B164+C164)/2</f>
        <v>16.3</v>
      </c>
      <c r="E164" s="744">
        <v>8.6</v>
      </c>
      <c r="F164" s="296"/>
      <c r="G164" s="750">
        <v>92</v>
      </c>
      <c r="H164" s="751">
        <v>88</v>
      </c>
      <c r="I164" s="752">
        <v>91</v>
      </c>
      <c r="J164" s="709">
        <v>1.81</v>
      </c>
      <c r="K164" s="710">
        <v>2.2000000000000002</v>
      </c>
      <c r="L164" s="740">
        <v>3.5</v>
      </c>
      <c r="M164" s="297"/>
    </row>
    <row r="165" spans="1:13" ht="16" thickBot="1" x14ac:dyDescent="0.4">
      <c r="A165" s="298" t="s">
        <v>35</v>
      </c>
      <c r="B165" s="299">
        <f t="shared" ref="B165:M165" si="29">SUM(B155:B164)</f>
        <v>218.6</v>
      </c>
      <c r="C165" s="299">
        <f t="shared" si="29"/>
        <v>80.199999999999989</v>
      </c>
      <c r="D165" s="305">
        <f t="shared" si="29"/>
        <v>149.4</v>
      </c>
      <c r="E165" s="299">
        <f t="shared" si="29"/>
        <v>61.4</v>
      </c>
      <c r="F165" s="300">
        <f t="shared" si="29"/>
        <v>22.6</v>
      </c>
      <c r="G165" s="301">
        <f t="shared" si="29"/>
        <v>910</v>
      </c>
      <c r="H165" s="302">
        <f t="shared" si="29"/>
        <v>671</v>
      </c>
      <c r="I165" s="753">
        <f t="shared" si="29"/>
        <v>852</v>
      </c>
      <c r="J165" s="717">
        <f t="shared" si="29"/>
        <v>18.919999999999998</v>
      </c>
      <c r="K165" s="299">
        <f t="shared" si="29"/>
        <v>21.9</v>
      </c>
      <c r="L165" s="314">
        <f t="shared" si="29"/>
        <v>36.5</v>
      </c>
      <c r="M165" s="315">
        <f t="shared" si="29"/>
        <v>0</v>
      </c>
    </row>
    <row r="166" spans="1:13" ht="15.5" x14ac:dyDescent="0.35">
      <c r="A166" s="316">
        <v>21</v>
      </c>
      <c r="B166" s="741">
        <v>19.399999999999999</v>
      </c>
      <c r="C166" s="742">
        <v>11.8</v>
      </c>
      <c r="D166" s="743">
        <f>(B166+C166)/2</f>
        <v>15.6</v>
      </c>
      <c r="E166" s="744">
        <v>10</v>
      </c>
      <c r="F166" s="279"/>
      <c r="G166" s="754">
        <v>90</v>
      </c>
      <c r="H166" s="755">
        <v>76</v>
      </c>
      <c r="I166" s="756">
        <v>88</v>
      </c>
      <c r="J166" s="709">
        <v>1.38</v>
      </c>
      <c r="K166" s="710">
        <v>1.8</v>
      </c>
      <c r="L166" s="740">
        <v>3</v>
      </c>
      <c r="M166" s="307"/>
    </row>
    <row r="167" spans="1:13" ht="15.5" x14ac:dyDescent="0.35">
      <c r="A167" s="223">
        <v>22</v>
      </c>
      <c r="B167" s="741">
        <v>20.8</v>
      </c>
      <c r="C167" s="748">
        <v>7</v>
      </c>
      <c r="D167" s="743">
        <f>(B167+C167)/2</f>
        <v>13.9</v>
      </c>
      <c r="E167" s="744">
        <v>6</v>
      </c>
      <c r="F167" s="279"/>
      <c r="G167" s="745">
        <v>91</v>
      </c>
      <c r="H167" s="746">
        <v>75</v>
      </c>
      <c r="I167" s="747">
        <v>89</v>
      </c>
      <c r="J167" s="709">
        <v>1.45</v>
      </c>
      <c r="K167" s="710">
        <v>2.2999999999999998</v>
      </c>
      <c r="L167" s="740">
        <v>4</v>
      </c>
      <c r="M167" s="291"/>
    </row>
    <row r="168" spans="1:13" ht="15.5" x14ac:dyDescent="0.35">
      <c r="A168" s="223">
        <v>23</v>
      </c>
      <c r="B168" s="741">
        <v>20</v>
      </c>
      <c r="C168" s="748">
        <v>6</v>
      </c>
      <c r="D168" s="743">
        <f>(B168+C168)/2</f>
        <v>13</v>
      </c>
      <c r="E168" s="744">
        <v>5</v>
      </c>
      <c r="F168" s="279"/>
      <c r="G168" s="745">
        <v>91</v>
      </c>
      <c r="H168" s="746">
        <v>74</v>
      </c>
      <c r="I168" s="747">
        <v>88</v>
      </c>
      <c r="J168" s="709">
        <v>2.0699999999999998</v>
      </c>
      <c r="K168" s="710">
        <v>2.7</v>
      </c>
      <c r="L168" s="740">
        <v>4.5</v>
      </c>
      <c r="M168" s="291"/>
    </row>
    <row r="169" spans="1:13" ht="15.5" x14ac:dyDescent="0.35">
      <c r="A169" s="223">
        <v>24</v>
      </c>
      <c r="B169" s="741">
        <v>21</v>
      </c>
      <c r="C169" s="742">
        <v>6.2</v>
      </c>
      <c r="D169" s="743">
        <f>(B169+C169)/2</f>
        <v>13.6</v>
      </c>
      <c r="E169" s="744">
        <v>5.4</v>
      </c>
      <c r="F169" s="279"/>
      <c r="G169" s="745">
        <v>90</v>
      </c>
      <c r="H169" s="746">
        <v>76</v>
      </c>
      <c r="I169" s="747">
        <v>89</v>
      </c>
      <c r="J169" s="709">
        <v>1.53</v>
      </c>
      <c r="K169" s="710">
        <v>1.9</v>
      </c>
      <c r="L169" s="740">
        <v>3</v>
      </c>
      <c r="M169" s="291"/>
    </row>
    <row r="170" spans="1:13" ht="15.5" x14ac:dyDescent="0.35">
      <c r="A170" s="223">
        <v>25</v>
      </c>
      <c r="B170" s="285">
        <v>23.4</v>
      </c>
      <c r="C170" s="286">
        <v>11.8</v>
      </c>
      <c r="D170" s="743">
        <v>17.600000000000001</v>
      </c>
      <c r="E170" s="287">
        <v>9.8000000000000007</v>
      </c>
      <c r="F170" s="279"/>
      <c r="G170" s="745">
        <v>92</v>
      </c>
      <c r="H170" s="746">
        <v>68</v>
      </c>
      <c r="I170" s="747">
        <v>91</v>
      </c>
      <c r="J170" s="709">
        <v>1.24</v>
      </c>
      <c r="K170" s="710">
        <v>1.4</v>
      </c>
      <c r="L170" s="740">
        <v>2.5</v>
      </c>
      <c r="M170" s="291"/>
    </row>
    <row r="171" spans="1:13" ht="15.5" x14ac:dyDescent="0.35">
      <c r="A171" s="223">
        <v>26</v>
      </c>
      <c r="B171" s="285">
        <v>21.4</v>
      </c>
      <c r="C171" s="286">
        <v>14.2</v>
      </c>
      <c r="D171" s="743">
        <v>17.799999999999997</v>
      </c>
      <c r="E171" s="294">
        <v>12.6</v>
      </c>
      <c r="F171" s="279"/>
      <c r="G171" s="745">
        <v>96</v>
      </c>
      <c r="H171" s="746">
        <v>88</v>
      </c>
      <c r="I171" s="747">
        <v>91</v>
      </c>
      <c r="J171" s="709">
        <v>1.35</v>
      </c>
      <c r="K171" s="710">
        <v>1.6</v>
      </c>
      <c r="L171" s="740">
        <v>2.5</v>
      </c>
      <c r="M171" s="291"/>
    </row>
    <row r="172" spans="1:13" ht="15.5" x14ac:dyDescent="0.35">
      <c r="A172" s="223">
        <v>27</v>
      </c>
      <c r="B172" s="285">
        <v>22</v>
      </c>
      <c r="C172" s="286">
        <v>12</v>
      </c>
      <c r="D172" s="743">
        <f>(B172+C172)/2</f>
        <v>17</v>
      </c>
      <c r="E172" s="294">
        <v>10.6</v>
      </c>
      <c r="F172" s="279"/>
      <c r="G172" s="745">
        <v>90</v>
      </c>
      <c r="H172" s="746">
        <v>80</v>
      </c>
      <c r="I172" s="747">
        <v>89</v>
      </c>
      <c r="J172" s="709">
        <v>1.47</v>
      </c>
      <c r="K172" s="710">
        <v>1.7</v>
      </c>
      <c r="L172" s="740">
        <v>3</v>
      </c>
      <c r="M172" s="291"/>
    </row>
    <row r="173" spans="1:13" ht="15.5" x14ac:dyDescent="0.35">
      <c r="A173" s="223">
        <v>28</v>
      </c>
      <c r="B173" s="759">
        <v>19.399999999999999</v>
      </c>
      <c r="C173" s="760">
        <v>12.8</v>
      </c>
      <c r="D173" s="743">
        <f>(B173+C173)/2</f>
        <v>16.100000000000001</v>
      </c>
      <c r="E173" s="761">
        <v>11</v>
      </c>
      <c r="F173" s="279"/>
      <c r="G173" s="745">
        <v>88</v>
      </c>
      <c r="H173" s="746">
        <v>82</v>
      </c>
      <c r="I173" s="747">
        <v>87</v>
      </c>
      <c r="J173" s="709">
        <v>2.19</v>
      </c>
      <c r="K173" s="710">
        <v>2.9</v>
      </c>
      <c r="L173" s="740">
        <v>5</v>
      </c>
      <c r="M173" s="291"/>
    </row>
    <row r="174" spans="1:13" ht="15.5" x14ac:dyDescent="0.35">
      <c r="A174" s="223">
        <v>29</v>
      </c>
      <c r="B174" s="759">
        <v>18.600000000000001</v>
      </c>
      <c r="C174" s="762">
        <v>11</v>
      </c>
      <c r="D174" s="743">
        <f>(B174+C174)/2</f>
        <v>14.8</v>
      </c>
      <c r="E174" s="761">
        <v>9.8000000000000007</v>
      </c>
      <c r="F174" s="279"/>
      <c r="G174" s="745">
        <v>92</v>
      </c>
      <c r="H174" s="746">
        <v>74</v>
      </c>
      <c r="I174" s="747">
        <v>90</v>
      </c>
      <c r="J174" s="709">
        <v>1.8</v>
      </c>
      <c r="K174" s="710">
        <v>2.5</v>
      </c>
      <c r="L174" s="740">
        <v>4</v>
      </c>
      <c r="M174" s="291"/>
    </row>
    <row r="175" spans="1:13" ht="15.5" x14ac:dyDescent="0.35">
      <c r="A175" s="223">
        <v>30</v>
      </c>
      <c r="B175" s="741">
        <v>19.600000000000001</v>
      </c>
      <c r="C175" s="742">
        <v>10</v>
      </c>
      <c r="D175" s="743">
        <v>14.8</v>
      </c>
      <c r="E175" s="749">
        <v>8.1999999999999993</v>
      </c>
      <c r="F175" s="279"/>
      <c r="G175" s="745">
        <v>96</v>
      </c>
      <c r="H175" s="746">
        <v>69</v>
      </c>
      <c r="I175" s="747">
        <v>92</v>
      </c>
      <c r="J175" s="709">
        <v>1.32</v>
      </c>
      <c r="K175" s="710">
        <v>1.8</v>
      </c>
      <c r="L175" s="740">
        <v>3</v>
      </c>
      <c r="M175" s="291"/>
    </row>
    <row r="176" spans="1:13" ht="16" thickBot="1" x14ac:dyDescent="0.4">
      <c r="A176" s="311">
        <v>31</v>
      </c>
      <c r="B176" s="318"/>
      <c r="C176" s="319"/>
      <c r="D176" s="320"/>
      <c r="E176" s="321"/>
      <c r="F176" s="322"/>
      <c r="G176" s="609"/>
      <c r="H176" s="610"/>
      <c r="I176" s="325"/>
      <c r="J176" s="763"/>
      <c r="K176" s="764"/>
      <c r="L176" s="765"/>
      <c r="M176" s="328"/>
    </row>
    <row r="177" spans="1:15" ht="16" thickBot="1" x14ac:dyDescent="0.4">
      <c r="A177" s="329" t="s">
        <v>35</v>
      </c>
      <c r="B177" s="245">
        <f t="shared" ref="B177:M177" si="30">SUM(B166:B176)</f>
        <v>205.6</v>
      </c>
      <c r="C177" s="245">
        <f t="shared" si="30"/>
        <v>102.8</v>
      </c>
      <c r="D177" s="245">
        <f t="shared" si="30"/>
        <v>154.20000000000002</v>
      </c>
      <c r="E177" s="245">
        <f t="shared" si="30"/>
        <v>88.4</v>
      </c>
      <c r="F177" s="330">
        <f t="shared" si="30"/>
        <v>0</v>
      </c>
      <c r="G177" s="651">
        <f t="shared" si="30"/>
        <v>916</v>
      </c>
      <c r="H177" s="652">
        <f t="shared" si="30"/>
        <v>762</v>
      </c>
      <c r="I177" s="333">
        <f t="shared" si="30"/>
        <v>894</v>
      </c>
      <c r="J177" s="730">
        <f t="shared" si="30"/>
        <v>15.800000000000002</v>
      </c>
      <c r="K177" s="245">
        <f t="shared" si="30"/>
        <v>20.599999999999998</v>
      </c>
      <c r="L177" s="334">
        <f t="shared" si="30"/>
        <v>34.5</v>
      </c>
      <c r="M177" s="334">
        <f t="shared" si="30"/>
        <v>0</v>
      </c>
    </row>
    <row r="178" spans="1:15" ht="16" thickBot="1" x14ac:dyDescent="0.4">
      <c r="A178" s="335" t="s">
        <v>36</v>
      </c>
      <c r="B178" s="249">
        <f>B177+B165+B154</f>
        <v>631.6</v>
      </c>
      <c r="C178" s="249">
        <f t="shared" ref="C178:M178" si="31">C177+C165+C154</f>
        <v>254</v>
      </c>
      <c r="D178" s="249">
        <f t="shared" si="31"/>
        <v>442.80000000000007</v>
      </c>
      <c r="E178" s="249">
        <f t="shared" si="31"/>
        <v>199.4</v>
      </c>
      <c r="F178" s="336">
        <f t="shared" si="31"/>
        <v>22.6</v>
      </c>
      <c r="G178" s="731">
        <f t="shared" si="31"/>
        <v>2744</v>
      </c>
      <c r="H178" s="766">
        <f t="shared" si="31"/>
        <v>2117</v>
      </c>
      <c r="I178" s="731">
        <f t="shared" si="31"/>
        <v>2603</v>
      </c>
      <c r="J178" s="336">
        <f t="shared" si="31"/>
        <v>49.739999999999995</v>
      </c>
      <c r="K178" s="249">
        <f t="shared" si="31"/>
        <v>61.5</v>
      </c>
      <c r="L178" s="257">
        <f t="shared" si="31"/>
        <v>103</v>
      </c>
      <c r="M178" s="257">
        <f t="shared" si="31"/>
        <v>0</v>
      </c>
      <c r="O178" s="767">
        <f>F178+F133+F88+F43</f>
        <v>102.70000000000002</v>
      </c>
    </row>
    <row r="179" spans="1:15" ht="16" thickBot="1" x14ac:dyDescent="0.4">
      <c r="A179" s="337" t="s">
        <v>19</v>
      </c>
      <c r="B179" s="259">
        <f>B178/30</f>
        <v>21.053333333333335</v>
      </c>
      <c r="C179" s="259">
        <f t="shared" ref="C179:E179" si="32">C178/30</f>
        <v>8.4666666666666668</v>
      </c>
      <c r="D179" s="259">
        <f t="shared" si="32"/>
        <v>14.760000000000002</v>
      </c>
      <c r="E179" s="259">
        <f t="shared" si="32"/>
        <v>6.6466666666666665</v>
      </c>
      <c r="F179" s="338" t="s">
        <v>64</v>
      </c>
      <c r="G179" s="257">
        <f>G178/30</f>
        <v>91.466666666666669</v>
      </c>
      <c r="H179" s="256">
        <f t="shared" ref="H179:J179" si="33">H178/30</f>
        <v>70.566666666666663</v>
      </c>
      <c r="I179" s="257">
        <f t="shared" si="33"/>
        <v>86.766666666666666</v>
      </c>
      <c r="J179" s="341">
        <f t="shared" si="33"/>
        <v>1.6579999999999999</v>
      </c>
      <c r="K179" s="267">
        <v>0</v>
      </c>
      <c r="L179" s="342">
        <v>0</v>
      </c>
      <c r="M179" s="343">
        <v>0</v>
      </c>
    </row>
    <row r="180" spans="1:15" ht="15" thickBot="1" x14ac:dyDescent="0.4">
      <c r="F180" s="4"/>
      <c r="G180" s="4"/>
      <c r="H180" s="4"/>
      <c r="I180" s="4"/>
      <c r="J180" s="4"/>
      <c r="K180" s="4"/>
      <c r="L180" s="4"/>
      <c r="M180" s="4"/>
    </row>
    <row r="181" spans="1:15" ht="16" thickBot="1" x14ac:dyDescent="0.4">
      <c r="A181" s="1" t="s">
        <v>0</v>
      </c>
      <c r="B181" s="2"/>
      <c r="C181" s="2"/>
      <c r="D181" s="2"/>
      <c r="E181" s="2"/>
      <c r="F181" s="3"/>
      <c r="G181" s="4"/>
      <c r="H181" s="4"/>
      <c r="I181" s="4"/>
      <c r="J181" s="4"/>
      <c r="K181" s="4"/>
      <c r="L181" s="4"/>
      <c r="M181" s="4"/>
    </row>
    <row r="182" spans="1:15" ht="15.5" x14ac:dyDescent="0.35">
      <c r="A182" s="5" t="s">
        <v>2</v>
      </c>
      <c r="B182" s="6"/>
      <c r="C182" s="6"/>
      <c r="D182" s="6"/>
      <c r="E182" s="6"/>
      <c r="F182" s="7"/>
      <c r="G182" s="4"/>
      <c r="H182" s="4"/>
      <c r="I182" s="1" t="s">
        <v>3</v>
      </c>
      <c r="J182" s="1"/>
      <c r="K182" s="2"/>
      <c r="L182" s="2"/>
      <c r="M182" s="8"/>
    </row>
    <row r="183" spans="1:15" ht="15.5" x14ac:dyDescent="0.35">
      <c r="A183" s="5" t="s">
        <v>4</v>
      </c>
      <c r="B183" s="6"/>
      <c r="C183" s="6"/>
      <c r="D183" s="6"/>
      <c r="E183" s="6"/>
      <c r="F183" s="7"/>
      <c r="G183" s="4"/>
      <c r="H183" s="4"/>
      <c r="I183" s="5" t="s">
        <v>61</v>
      </c>
      <c r="J183" s="5"/>
      <c r="K183" s="6"/>
      <c r="L183" s="9"/>
      <c r="M183" s="344"/>
    </row>
    <row r="184" spans="1:15" ht="16" thickBot="1" x14ac:dyDescent="0.4">
      <c r="A184" s="11" t="s">
        <v>6</v>
      </c>
      <c r="B184" s="12"/>
      <c r="C184" s="12"/>
      <c r="D184" s="12"/>
      <c r="E184" s="12"/>
      <c r="F184" s="13"/>
      <c r="G184" s="4"/>
      <c r="H184" s="4"/>
      <c r="I184" s="11" t="s">
        <v>7</v>
      </c>
      <c r="J184" s="11"/>
      <c r="K184" s="12"/>
      <c r="L184" s="345" t="s">
        <v>45</v>
      </c>
      <c r="M184" s="346"/>
    </row>
    <row r="185" spans="1:15" ht="26" thickBot="1" x14ac:dyDescent="0.65">
      <c r="A185" s="17" t="s">
        <v>39</v>
      </c>
      <c r="B185" s="17"/>
      <c r="C185" s="17"/>
      <c r="D185" s="17"/>
      <c r="E185" s="17"/>
      <c r="F185" s="17"/>
      <c r="G185" s="272"/>
      <c r="H185" s="272"/>
      <c r="I185" s="272"/>
      <c r="J185" s="272"/>
      <c r="K185" s="17"/>
      <c r="L185" s="17"/>
      <c r="M185" s="17"/>
    </row>
    <row r="186" spans="1:15" ht="18" customHeight="1" thickBot="1" x14ac:dyDescent="0.4">
      <c r="A186" s="915" t="s">
        <v>10</v>
      </c>
      <c r="B186" s="918" t="s">
        <v>11</v>
      </c>
      <c r="C186" s="919"/>
      <c r="D186" s="919"/>
      <c r="E186" s="920"/>
      <c r="F186" s="129" t="s">
        <v>12</v>
      </c>
      <c r="G186" s="927" t="s">
        <v>13</v>
      </c>
      <c r="H186" s="928"/>
      <c r="I186" s="929"/>
      <c r="J186" s="132" t="s">
        <v>14</v>
      </c>
      <c r="K186" s="918" t="s">
        <v>15</v>
      </c>
      <c r="L186" s="920"/>
      <c r="M186" s="132" t="s">
        <v>16</v>
      </c>
    </row>
    <row r="187" spans="1:15" ht="18" customHeight="1" thickBot="1" x14ac:dyDescent="0.4">
      <c r="A187" s="916"/>
      <c r="B187" s="134" t="s">
        <v>17</v>
      </c>
      <c r="C187" s="135" t="s">
        <v>18</v>
      </c>
      <c r="D187" s="135" t="s">
        <v>19</v>
      </c>
      <c r="E187" s="136" t="s">
        <v>18</v>
      </c>
      <c r="F187" s="138" t="s">
        <v>20</v>
      </c>
      <c r="G187" s="930" t="s">
        <v>21</v>
      </c>
      <c r="H187" s="931"/>
      <c r="I187" s="932"/>
      <c r="J187" s="352" t="s">
        <v>22</v>
      </c>
      <c r="K187" s="137" t="s">
        <v>23</v>
      </c>
      <c r="L187" s="139"/>
      <c r="M187" s="140" t="s">
        <v>24</v>
      </c>
    </row>
    <row r="188" spans="1:15" ht="18" customHeight="1" thickBot="1" x14ac:dyDescent="0.4">
      <c r="A188" s="916"/>
      <c r="B188" s="437" t="s">
        <v>25</v>
      </c>
      <c r="C188" s="147" t="s">
        <v>25</v>
      </c>
      <c r="D188" s="147"/>
      <c r="E188" s="148" t="s">
        <v>26</v>
      </c>
      <c r="F188" s="356" t="s">
        <v>27</v>
      </c>
      <c r="G188" s="357" t="s">
        <v>28</v>
      </c>
      <c r="H188" s="354" t="s">
        <v>29</v>
      </c>
      <c r="I188" s="355" t="s">
        <v>30</v>
      </c>
      <c r="J188" s="358" t="s">
        <v>31</v>
      </c>
      <c r="K188" s="146" t="s">
        <v>32</v>
      </c>
      <c r="L188" s="148" t="s">
        <v>33</v>
      </c>
      <c r="M188" s="203" t="s">
        <v>34</v>
      </c>
    </row>
    <row r="189" spans="1:15" ht="18" customHeight="1" x14ac:dyDescent="0.35">
      <c r="A189" s="204">
        <v>1</v>
      </c>
      <c r="B189" s="39">
        <v>17.600000000000001</v>
      </c>
      <c r="C189" s="40">
        <v>8.6</v>
      </c>
      <c r="D189" s="41">
        <f t="shared" ref="D189:D198" si="34">(B189+C189)/2</f>
        <v>13.100000000000001</v>
      </c>
      <c r="E189" s="707">
        <v>5.2</v>
      </c>
      <c r="F189" s="40">
        <v>6</v>
      </c>
      <c r="G189" s="674">
        <v>88</v>
      </c>
      <c r="H189" s="45">
        <v>67</v>
      </c>
      <c r="I189" s="768">
        <v>84</v>
      </c>
      <c r="J189" s="705">
        <v>2.66</v>
      </c>
      <c r="K189" s="657">
        <v>1.5</v>
      </c>
      <c r="L189" s="769">
        <v>2.5</v>
      </c>
      <c r="M189" s="205"/>
    </row>
    <row r="190" spans="1:15" ht="18" customHeight="1" x14ac:dyDescent="0.35">
      <c r="A190" s="209">
        <v>2</v>
      </c>
      <c r="B190" s="51">
        <v>19.600000000000001</v>
      </c>
      <c r="C190" s="60">
        <v>8.8000000000000007</v>
      </c>
      <c r="D190" s="41">
        <f t="shared" si="34"/>
        <v>14.200000000000001</v>
      </c>
      <c r="E190" s="53">
        <v>5.6</v>
      </c>
      <c r="F190" s="40"/>
      <c r="G190" s="82">
        <v>86</v>
      </c>
      <c r="H190" s="56">
        <v>75</v>
      </c>
      <c r="I190" s="770">
        <v>83</v>
      </c>
      <c r="J190" s="709">
        <v>2.19</v>
      </c>
      <c r="K190" s="657">
        <v>2.9</v>
      </c>
      <c r="L190" s="645">
        <v>5</v>
      </c>
      <c r="M190" s="59"/>
    </row>
    <row r="191" spans="1:15" ht="18" customHeight="1" x14ac:dyDescent="0.35">
      <c r="A191" s="209">
        <v>3</v>
      </c>
      <c r="B191" s="51">
        <v>20.2</v>
      </c>
      <c r="C191" s="60">
        <v>12.2</v>
      </c>
      <c r="D191" s="41">
        <f t="shared" si="34"/>
        <v>16.2</v>
      </c>
      <c r="E191" s="53">
        <v>9.4</v>
      </c>
      <c r="F191" s="40"/>
      <c r="G191" s="82">
        <v>92</v>
      </c>
      <c r="H191" s="56">
        <v>73</v>
      </c>
      <c r="I191" s="771">
        <v>85</v>
      </c>
      <c r="J191" s="709">
        <v>1.77</v>
      </c>
      <c r="K191" s="657">
        <v>2.2999999999999998</v>
      </c>
      <c r="L191" s="645">
        <v>4</v>
      </c>
      <c r="M191" s="59"/>
    </row>
    <row r="192" spans="1:15" ht="18" customHeight="1" x14ac:dyDescent="0.35">
      <c r="A192" s="209">
        <v>4</v>
      </c>
      <c r="B192" s="51">
        <v>20.8</v>
      </c>
      <c r="C192" s="60">
        <v>13.4</v>
      </c>
      <c r="D192" s="41">
        <f t="shared" si="34"/>
        <v>17.100000000000001</v>
      </c>
      <c r="E192" s="61">
        <v>10.199999999999999</v>
      </c>
      <c r="F192" s="40"/>
      <c r="G192" s="82">
        <v>89</v>
      </c>
      <c r="H192" s="56">
        <v>79</v>
      </c>
      <c r="I192" s="771">
        <v>84</v>
      </c>
      <c r="J192" s="709">
        <v>1.46</v>
      </c>
      <c r="K192" s="657">
        <v>1.8</v>
      </c>
      <c r="L192" s="645">
        <v>3</v>
      </c>
      <c r="M192" s="59"/>
    </row>
    <row r="193" spans="1:13" ht="18" customHeight="1" x14ac:dyDescent="0.35">
      <c r="A193" s="209">
        <v>5</v>
      </c>
      <c r="B193" s="51">
        <v>23.6</v>
      </c>
      <c r="C193" s="52">
        <v>12.8</v>
      </c>
      <c r="D193" s="41">
        <f t="shared" si="34"/>
        <v>18.200000000000003</v>
      </c>
      <c r="E193" s="61">
        <v>10</v>
      </c>
      <c r="F193" s="40"/>
      <c r="G193" s="82">
        <v>87</v>
      </c>
      <c r="H193" s="56">
        <v>70</v>
      </c>
      <c r="I193" s="771">
        <v>83</v>
      </c>
      <c r="J193" s="709">
        <v>2.2799999999999998</v>
      </c>
      <c r="K193" s="657">
        <v>2.1</v>
      </c>
      <c r="L193" s="645">
        <v>3.5</v>
      </c>
      <c r="M193" s="59"/>
    </row>
    <row r="194" spans="1:13" ht="18" customHeight="1" x14ac:dyDescent="0.35">
      <c r="A194" s="209">
        <v>6</v>
      </c>
      <c r="B194" s="51">
        <v>22.6</v>
      </c>
      <c r="C194" s="60">
        <v>14.2</v>
      </c>
      <c r="D194" s="41">
        <f t="shared" si="34"/>
        <v>18.399999999999999</v>
      </c>
      <c r="E194" s="53">
        <v>10.6</v>
      </c>
      <c r="F194" s="40"/>
      <c r="G194" s="82">
        <v>96</v>
      </c>
      <c r="H194" s="56">
        <v>70</v>
      </c>
      <c r="I194" s="771">
        <v>86</v>
      </c>
      <c r="J194" s="709">
        <v>1.46</v>
      </c>
      <c r="K194" s="657">
        <v>1.7</v>
      </c>
      <c r="L194" s="645">
        <v>3</v>
      </c>
      <c r="M194" s="59"/>
    </row>
    <row r="195" spans="1:13" ht="18" customHeight="1" x14ac:dyDescent="0.35">
      <c r="A195" s="209">
        <v>7</v>
      </c>
      <c r="B195" s="51">
        <v>23</v>
      </c>
      <c r="C195" s="60">
        <v>9.8000000000000007</v>
      </c>
      <c r="D195" s="41">
        <f t="shared" si="34"/>
        <v>16.399999999999999</v>
      </c>
      <c r="E195" s="61">
        <v>6.6</v>
      </c>
      <c r="F195" s="40"/>
      <c r="G195" s="82">
        <v>87</v>
      </c>
      <c r="H195" s="56">
        <v>69</v>
      </c>
      <c r="I195" s="771">
        <v>84</v>
      </c>
      <c r="J195" s="709">
        <v>1.07</v>
      </c>
      <c r="K195" s="657">
        <v>1.4</v>
      </c>
      <c r="L195" s="645">
        <v>2.5</v>
      </c>
      <c r="M195" s="59"/>
    </row>
    <row r="196" spans="1:13" ht="18" customHeight="1" x14ac:dyDescent="0.35">
      <c r="A196" s="209">
        <v>8</v>
      </c>
      <c r="B196" s="51">
        <v>21</v>
      </c>
      <c r="C196" s="52">
        <v>8.8000000000000007</v>
      </c>
      <c r="D196" s="41">
        <f t="shared" si="34"/>
        <v>14.9</v>
      </c>
      <c r="E196" s="61">
        <v>5.6</v>
      </c>
      <c r="F196" s="40"/>
      <c r="G196" s="82">
        <v>89</v>
      </c>
      <c r="H196" s="56">
        <v>73</v>
      </c>
      <c r="I196" s="771">
        <v>84</v>
      </c>
      <c r="J196" s="709">
        <v>1</v>
      </c>
      <c r="K196" s="657">
        <v>1.2</v>
      </c>
      <c r="L196" s="645">
        <v>2</v>
      </c>
      <c r="M196" s="59"/>
    </row>
    <row r="197" spans="1:13" ht="18" customHeight="1" x14ac:dyDescent="0.35">
      <c r="A197" s="209">
        <v>9</v>
      </c>
      <c r="B197" s="51">
        <v>21.6</v>
      </c>
      <c r="C197" s="52">
        <v>14.6</v>
      </c>
      <c r="D197" s="41">
        <f t="shared" si="34"/>
        <v>18.100000000000001</v>
      </c>
      <c r="E197" s="61">
        <v>11.4</v>
      </c>
      <c r="F197" s="40">
        <v>0.7</v>
      </c>
      <c r="G197" s="82">
        <v>91</v>
      </c>
      <c r="H197" s="56">
        <v>84</v>
      </c>
      <c r="I197" s="771">
        <v>87</v>
      </c>
      <c r="J197" s="709">
        <v>1.32</v>
      </c>
      <c r="K197" s="657">
        <v>1.6</v>
      </c>
      <c r="L197" s="645">
        <v>2.5</v>
      </c>
      <c r="M197" s="59"/>
    </row>
    <row r="198" spans="1:13" ht="18" customHeight="1" thickBot="1" x14ac:dyDescent="0.4">
      <c r="A198" s="214">
        <v>10</v>
      </c>
      <c r="B198" s="39">
        <v>21.6</v>
      </c>
      <c r="C198" s="40">
        <v>12.4</v>
      </c>
      <c r="D198" s="41">
        <f t="shared" si="34"/>
        <v>17</v>
      </c>
      <c r="E198" s="42">
        <v>9.8000000000000007</v>
      </c>
      <c r="F198" s="40"/>
      <c r="G198" s="91">
        <v>88</v>
      </c>
      <c r="H198" s="80">
        <v>60</v>
      </c>
      <c r="I198" s="772">
        <v>82</v>
      </c>
      <c r="J198" s="709">
        <v>2.46</v>
      </c>
      <c r="K198" s="657">
        <v>3</v>
      </c>
      <c r="L198" s="645">
        <v>5</v>
      </c>
      <c r="M198" s="59"/>
    </row>
    <row r="199" spans="1:13" ht="18" customHeight="1" thickBot="1" x14ac:dyDescent="0.4">
      <c r="A199" s="298" t="s">
        <v>35</v>
      </c>
      <c r="B199" s="367">
        <f t="shared" ref="B199:M199" si="35">SUM(B189:B198)</f>
        <v>211.6</v>
      </c>
      <c r="C199" s="367">
        <f t="shared" si="35"/>
        <v>115.6</v>
      </c>
      <c r="D199" s="367">
        <f t="shared" si="35"/>
        <v>163.60000000000002</v>
      </c>
      <c r="E199" s="367">
        <f t="shared" si="35"/>
        <v>84.4</v>
      </c>
      <c r="F199" s="368">
        <f t="shared" si="35"/>
        <v>6.7</v>
      </c>
      <c r="G199" s="369">
        <f t="shared" si="35"/>
        <v>893</v>
      </c>
      <c r="H199" s="773">
        <f t="shared" si="35"/>
        <v>720</v>
      </c>
      <c r="I199" s="774">
        <f t="shared" si="35"/>
        <v>842</v>
      </c>
      <c r="J199" s="159">
        <f t="shared" si="35"/>
        <v>17.669999999999998</v>
      </c>
      <c r="K199" s="367">
        <f t="shared" si="35"/>
        <v>19.5</v>
      </c>
      <c r="L199" s="372">
        <f t="shared" si="35"/>
        <v>33</v>
      </c>
      <c r="M199" s="372">
        <f t="shared" si="35"/>
        <v>0</v>
      </c>
    </row>
    <row r="200" spans="1:13" ht="18" customHeight="1" x14ac:dyDescent="0.35">
      <c r="A200" s="306">
        <v>11</v>
      </c>
      <c r="B200" s="51">
        <v>21.6</v>
      </c>
      <c r="C200" s="52">
        <v>12.6</v>
      </c>
      <c r="D200" s="41">
        <f t="shared" ref="D200:D209" si="36">(B200+C200)/2</f>
        <v>17.100000000000001</v>
      </c>
      <c r="E200" s="61">
        <v>10</v>
      </c>
      <c r="F200" s="40"/>
      <c r="G200" s="82">
        <v>90</v>
      </c>
      <c r="H200" s="56">
        <v>66</v>
      </c>
      <c r="I200" s="771">
        <v>84</v>
      </c>
      <c r="J200" s="709">
        <v>1.27</v>
      </c>
      <c r="K200" s="657">
        <v>1.5</v>
      </c>
      <c r="L200" s="645">
        <v>2.5</v>
      </c>
      <c r="M200" s="59"/>
    </row>
    <row r="201" spans="1:13" ht="18" customHeight="1" x14ac:dyDescent="0.35">
      <c r="A201" s="209">
        <v>12</v>
      </c>
      <c r="B201" s="51">
        <v>19.399999999999999</v>
      </c>
      <c r="C201" s="52">
        <v>12.8</v>
      </c>
      <c r="D201" s="41">
        <f t="shared" si="36"/>
        <v>16.100000000000001</v>
      </c>
      <c r="E201" s="61">
        <v>10.4</v>
      </c>
      <c r="F201" s="40">
        <v>1</v>
      </c>
      <c r="G201" s="82">
        <v>87</v>
      </c>
      <c r="H201" s="56">
        <v>83</v>
      </c>
      <c r="I201" s="771">
        <v>86</v>
      </c>
      <c r="J201" s="709">
        <v>1.57</v>
      </c>
      <c r="K201" s="657">
        <v>2.1</v>
      </c>
      <c r="L201" s="769">
        <v>3.5</v>
      </c>
      <c r="M201" s="59"/>
    </row>
    <row r="202" spans="1:13" ht="18" customHeight="1" x14ac:dyDescent="0.35">
      <c r="A202" s="209">
        <v>13</v>
      </c>
      <c r="B202" s="51">
        <v>23</v>
      </c>
      <c r="C202" s="52">
        <v>11.4</v>
      </c>
      <c r="D202" s="41">
        <f t="shared" si="36"/>
        <v>17.2</v>
      </c>
      <c r="E202" s="61">
        <v>9.6</v>
      </c>
      <c r="F202" s="40">
        <v>8.4</v>
      </c>
      <c r="G202" s="82">
        <v>90</v>
      </c>
      <c r="H202" s="56">
        <v>61</v>
      </c>
      <c r="I202" s="771">
        <v>81</v>
      </c>
      <c r="J202" s="709">
        <v>1.76</v>
      </c>
      <c r="K202" s="657">
        <v>2</v>
      </c>
      <c r="L202" s="769">
        <v>3.5</v>
      </c>
      <c r="M202" s="59"/>
    </row>
    <row r="203" spans="1:13" ht="18" customHeight="1" x14ac:dyDescent="0.35">
      <c r="A203" s="209">
        <v>14</v>
      </c>
      <c r="B203" s="51">
        <v>24</v>
      </c>
      <c r="C203" s="60">
        <v>6.6</v>
      </c>
      <c r="D203" s="41">
        <f t="shared" si="36"/>
        <v>15.3</v>
      </c>
      <c r="E203" s="61">
        <v>4.2</v>
      </c>
      <c r="F203" s="40">
        <v>3.2</v>
      </c>
      <c r="G203" s="82">
        <v>88</v>
      </c>
      <c r="H203" s="56">
        <v>63</v>
      </c>
      <c r="I203" s="771">
        <v>84</v>
      </c>
      <c r="J203" s="709">
        <v>1.72</v>
      </c>
      <c r="K203" s="657">
        <v>1.9</v>
      </c>
      <c r="L203" s="769">
        <v>3</v>
      </c>
      <c r="M203" s="59"/>
    </row>
    <row r="204" spans="1:13" ht="18" customHeight="1" x14ac:dyDescent="0.35">
      <c r="A204" s="209">
        <v>15</v>
      </c>
      <c r="B204" s="51">
        <v>19.8</v>
      </c>
      <c r="C204" s="60">
        <v>11.8</v>
      </c>
      <c r="D204" s="41">
        <f t="shared" si="36"/>
        <v>15.8</v>
      </c>
      <c r="E204" s="53">
        <v>9.8000000000000007</v>
      </c>
      <c r="F204" s="40"/>
      <c r="G204" s="82">
        <v>88</v>
      </c>
      <c r="H204" s="56">
        <v>79</v>
      </c>
      <c r="I204" s="771">
        <v>87</v>
      </c>
      <c r="J204" s="709">
        <v>1.85</v>
      </c>
      <c r="K204" s="657">
        <v>2.4</v>
      </c>
      <c r="L204" s="769">
        <v>4</v>
      </c>
      <c r="M204" s="59"/>
    </row>
    <row r="205" spans="1:13" ht="18" customHeight="1" x14ac:dyDescent="0.35">
      <c r="A205" s="209">
        <v>16</v>
      </c>
      <c r="B205" s="51">
        <v>19</v>
      </c>
      <c r="C205" s="60">
        <v>12</v>
      </c>
      <c r="D205" s="41">
        <f t="shared" si="36"/>
        <v>15.5</v>
      </c>
      <c r="E205" s="61">
        <v>9.8000000000000007</v>
      </c>
      <c r="F205" s="40"/>
      <c r="G205" s="82">
        <v>92</v>
      </c>
      <c r="H205" s="56">
        <v>80</v>
      </c>
      <c r="I205" s="771">
        <v>90</v>
      </c>
      <c r="J205" s="709">
        <v>1.36</v>
      </c>
      <c r="K205" s="657">
        <v>1.9</v>
      </c>
      <c r="L205" s="769">
        <v>3</v>
      </c>
      <c r="M205" s="59"/>
    </row>
    <row r="206" spans="1:13" ht="18" customHeight="1" x14ac:dyDescent="0.35">
      <c r="A206" s="223">
        <v>17</v>
      </c>
      <c r="B206" s="51">
        <v>16</v>
      </c>
      <c r="C206" s="60">
        <v>11.8</v>
      </c>
      <c r="D206" s="41">
        <f t="shared" si="36"/>
        <v>13.9</v>
      </c>
      <c r="E206" s="61">
        <v>9.4</v>
      </c>
      <c r="F206" s="40"/>
      <c r="G206" s="82">
        <v>90</v>
      </c>
      <c r="H206" s="56">
        <v>73</v>
      </c>
      <c r="I206" s="771">
        <v>89</v>
      </c>
      <c r="J206" s="709">
        <v>1.26</v>
      </c>
      <c r="K206" s="657">
        <v>2</v>
      </c>
      <c r="L206" s="769">
        <v>3.5</v>
      </c>
      <c r="M206" s="59"/>
    </row>
    <row r="207" spans="1:13" ht="18" customHeight="1" x14ac:dyDescent="0.35">
      <c r="A207" s="223">
        <v>18</v>
      </c>
      <c r="B207" s="51">
        <v>25.6</v>
      </c>
      <c r="C207" s="52">
        <v>15</v>
      </c>
      <c r="D207" s="41">
        <f t="shared" si="36"/>
        <v>20.3</v>
      </c>
      <c r="E207" s="61">
        <v>12.6</v>
      </c>
      <c r="F207" s="40"/>
      <c r="G207" s="82">
        <v>86</v>
      </c>
      <c r="H207" s="56">
        <v>70</v>
      </c>
      <c r="I207" s="770">
        <v>84</v>
      </c>
      <c r="J207" s="709">
        <v>1.28</v>
      </c>
      <c r="K207" s="657">
        <v>1.3</v>
      </c>
      <c r="L207" s="769">
        <v>2</v>
      </c>
      <c r="M207" s="59"/>
    </row>
    <row r="208" spans="1:13" ht="18" customHeight="1" x14ac:dyDescent="0.35">
      <c r="A208" s="223">
        <v>19</v>
      </c>
      <c r="B208" s="51">
        <v>25.4</v>
      </c>
      <c r="C208" s="60">
        <v>11.4</v>
      </c>
      <c r="D208" s="41">
        <f t="shared" si="36"/>
        <v>18.399999999999999</v>
      </c>
      <c r="E208" s="53">
        <v>9.6</v>
      </c>
      <c r="F208" s="40"/>
      <c r="G208" s="678">
        <v>88</v>
      </c>
      <c r="H208" s="56">
        <v>44</v>
      </c>
      <c r="I208" s="771">
        <v>77</v>
      </c>
      <c r="J208" s="709">
        <v>2.25</v>
      </c>
      <c r="K208" s="657">
        <v>2.2999999999999998</v>
      </c>
      <c r="L208" s="769">
        <v>4</v>
      </c>
      <c r="M208" s="59"/>
    </row>
    <row r="209" spans="1:13" ht="18" customHeight="1" thickBot="1" x14ac:dyDescent="0.4">
      <c r="A209" s="311">
        <v>20</v>
      </c>
      <c r="B209" s="51">
        <v>24.6</v>
      </c>
      <c r="C209" s="60">
        <v>13</v>
      </c>
      <c r="D209" s="41">
        <f t="shared" si="36"/>
        <v>18.8</v>
      </c>
      <c r="E209" s="53">
        <v>10.199999999999999</v>
      </c>
      <c r="F209" s="40"/>
      <c r="G209" s="91">
        <v>85</v>
      </c>
      <c r="H209" s="56">
        <v>54</v>
      </c>
      <c r="I209" s="770">
        <v>82</v>
      </c>
      <c r="J209" s="709">
        <v>1.38</v>
      </c>
      <c r="K209" s="657">
        <v>1.5</v>
      </c>
      <c r="L209" s="769">
        <v>2.5</v>
      </c>
      <c r="M209" s="59"/>
    </row>
    <row r="210" spans="1:13" ht="18" customHeight="1" thickBot="1" x14ac:dyDescent="0.4">
      <c r="A210" s="298" t="s">
        <v>35</v>
      </c>
      <c r="B210" s="367">
        <f>SUM(B200:B209)</f>
        <v>218.4</v>
      </c>
      <c r="C210" s="367">
        <f>SUM(C200:C209)</f>
        <v>118.4</v>
      </c>
      <c r="D210" s="372">
        <f>SUM(D200:D209)</f>
        <v>168.40000000000003</v>
      </c>
      <c r="E210" s="367">
        <f>SUM(E200:E209)</f>
        <v>95.6</v>
      </c>
      <c r="F210" s="368">
        <f>SUM(F200:F209)</f>
        <v>12.600000000000001</v>
      </c>
      <c r="G210" s="369">
        <f t="shared" ref="G210:M210" si="37">SUM(G200:G209)</f>
        <v>884</v>
      </c>
      <c r="H210" s="773">
        <f t="shared" si="37"/>
        <v>673</v>
      </c>
      <c r="I210" s="774">
        <f t="shared" si="37"/>
        <v>844</v>
      </c>
      <c r="J210" s="159">
        <f t="shared" si="37"/>
        <v>15.7</v>
      </c>
      <c r="K210" s="367">
        <f t="shared" si="37"/>
        <v>18.900000000000002</v>
      </c>
      <c r="L210" s="372">
        <f t="shared" si="37"/>
        <v>31.5</v>
      </c>
      <c r="M210" s="372">
        <f t="shared" si="37"/>
        <v>0</v>
      </c>
    </row>
    <row r="211" spans="1:13" ht="18" customHeight="1" x14ac:dyDescent="0.35">
      <c r="A211" s="316">
        <v>21</v>
      </c>
      <c r="B211" s="51">
        <v>25</v>
      </c>
      <c r="C211" s="60">
        <v>12.2</v>
      </c>
      <c r="D211" s="41">
        <f t="shared" ref="D211:D221" si="38">(B211+C211)/2</f>
        <v>18.600000000000001</v>
      </c>
      <c r="E211" s="61">
        <v>8.8000000000000007</v>
      </c>
      <c r="F211" s="40"/>
      <c r="G211" s="91">
        <v>85</v>
      </c>
      <c r="H211" s="56">
        <v>53</v>
      </c>
      <c r="I211" s="770">
        <v>84</v>
      </c>
      <c r="J211" s="709">
        <v>1.74</v>
      </c>
      <c r="K211" s="657">
        <v>1.8</v>
      </c>
      <c r="L211" s="769">
        <v>3</v>
      </c>
      <c r="M211" s="48"/>
    </row>
    <row r="212" spans="1:13" ht="18" customHeight="1" x14ac:dyDescent="0.35">
      <c r="A212" s="223">
        <v>22</v>
      </c>
      <c r="B212" s="51">
        <v>25</v>
      </c>
      <c r="C212" s="60">
        <v>10</v>
      </c>
      <c r="D212" s="41">
        <f t="shared" si="38"/>
        <v>17.5</v>
      </c>
      <c r="E212" s="53">
        <v>8.1999999999999993</v>
      </c>
      <c r="F212" s="40"/>
      <c r="G212" s="678">
        <v>89</v>
      </c>
      <c r="H212" s="56">
        <v>71</v>
      </c>
      <c r="I212" s="771">
        <v>86</v>
      </c>
      <c r="J212" s="709">
        <v>1.27</v>
      </c>
      <c r="K212" s="657">
        <v>2.2999999999999998</v>
      </c>
      <c r="L212" s="769">
        <v>4</v>
      </c>
      <c r="M212" s="59"/>
    </row>
    <row r="213" spans="1:13" ht="18" customHeight="1" x14ac:dyDescent="0.35">
      <c r="A213" s="223">
        <v>23</v>
      </c>
      <c r="B213" s="51">
        <v>23.6</v>
      </c>
      <c r="C213" s="60">
        <v>12.4</v>
      </c>
      <c r="D213" s="41">
        <f t="shared" si="38"/>
        <v>18</v>
      </c>
      <c r="E213" s="53">
        <v>9.6</v>
      </c>
      <c r="F213" s="40"/>
      <c r="G213" s="678">
        <v>86</v>
      </c>
      <c r="H213" s="56">
        <v>70</v>
      </c>
      <c r="I213" s="771">
        <v>83</v>
      </c>
      <c r="J213" s="709">
        <v>2</v>
      </c>
      <c r="K213" s="657">
        <v>2.2000000000000002</v>
      </c>
      <c r="L213" s="769">
        <v>3.5</v>
      </c>
      <c r="M213" s="59"/>
    </row>
    <row r="214" spans="1:13" ht="18" customHeight="1" x14ac:dyDescent="0.35">
      <c r="A214" s="223">
        <v>24</v>
      </c>
      <c r="B214" s="51">
        <v>28.4</v>
      </c>
      <c r="C214" s="52">
        <v>13.2</v>
      </c>
      <c r="D214" s="41">
        <f t="shared" si="38"/>
        <v>20.799999999999997</v>
      </c>
      <c r="E214" s="61">
        <v>10.4</v>
      </c>
      <c r="F214" s="40"/>
      <c r="G214" s="82">
        <v>84</v>
      </c>
      <c r="H214" s="56">
        <v>52</v>
      </c>
      <c r="I214" s="771">
        <v>80</v>
      </c>
      <c r="J214" s="709">
        <v>2.15</v>
      </c>
      <c r="K214" s="657">
        <v>2</v>
      </c>
      <c r="L214" s="769">
        <v>3.5</v>
      </c>
      <c r="M214" s="59"/>
    </row>
    <row r="215" spans="1:13" ht="18" customHeight="1" x14ac:dyDescent="0.35">
      <c r="A215" s="223">
        <v>25</v>
      </c>
      <c r="B215" s="51">
        <v>27</v>
      </c>
      <c r="C215" s="52">
        <v>13.8</v>
      </c>
      <c r="D215" s="41">
        <f t="shared" si="38"/>
        <v>20.399999999999999</v>
      </c>
      <c r="E215" s="61">
        <v>10.6</v>
      </c>
      <c r="F215" s="40"/>
      <c r="G215" s="82">
        <v>86</v>
      </c>
      <c r="H215" s="56">
        <v>60</v>
      </c>
      <c r="I215" s="771">
        <v>82</v>
      </c>
      <c r="J215" s="709">
        <v>1.24</v>
      </c>
      <c r="K215" s="657">
        <v>1.2</v>
      </c>
      <c r="L215" s="769">
        <v>2</v>
      </c>
      <c r="M215" s="59"/>
    </row>
    <row r="216" spans="1:13" ht="18" customHeight="1" x14ac:dyDescent="0.35">
      <c r="A216" s="223">
        <v>26</v>
      </c>
      <c r="B216" s="51">
        <v>25.2</v>
      </c>
      <c r="C216" s="60">
        <v>15</v>
      </c>
      <c r="D216" s="41">
        <f t="shared" si="38"/>
        <v>20.100000000000001</v>
      </c>
      <c r="E216" s="53">
        <v>12.8</v>
      </c>
      <c r="F216" s="40"/>
      <c r="G216" s="82">
        <v>84</v>
      </c>
      <c r="H216" s="56">
        <v>58</v>
      </c>
      <c r="I216" s="771">
        <v>80</v>
      </c>
      <c r="J216" s="709">
        <v>1.54</v>
      </c>
      <c r="K216" s="657">
        <v>1.6</v>
      </c>
      <c r="L216" s="769">
        <v>2.5</v>
      </c>
      <c r="M216" s="59"/>
    </row>
    <row r="217" spans="1:13" ht="18" customHeight="1" x14ac:dyDescent="0.35">
      <c r="A217" s="223">
        <v>27</v>
      </c>
      <c r="B217" s="51">
        <v>25</v>
      </c>
      <c r="C217" s="60">
        <v>14.2</v>
      </c>
      <c r="D217" s="41">
        <f t="shared" si="38"/>
        <v>19.600000000000001</v>
      </c>
      <c r="E217" s="61">
        <v>12.4</v>
      </c>
      <c r="F217" s="40"/>
      <c r="G217" s="82">
        <v>87</v>
      </c>
      <c r="H217" s="56">
        <v>54</v>
      </c>
      <c r="I217" s="771">
        <v>84</v>
      </c>
      <c r="J217" s="709">
        <v>1.63</v>
      </c>
      <c r="K217" s="657">
        <v>1.7</v>
      </c>
      <c r="L217" s="769">
        <v>3</v>
      </c>
      <c r="M217" s="59"/>
    </row>
    <row r="218" spans="1:13" ht="18" customHeight="1" x14ac:dyDescent="0.35">
      <c r="A218" s="223">
        <v>28</v>
      </c>
      <c r="B218" s="51">
        <v>23.6</v>
      </c>
      <c r="C218" s="60">
        <v>14.8</v>
      </c>
      <c r="D218" s="41">
        <f t="shared" si="38"/>
        <v>19.200000000000003</v>
      </c>
      <c r="E218" s="61">
        <v>12.8</v>
      </c>
      <c r="F218" s="40"/>
      <c r="G218" s="82">
        <v>83</v>
      </c>
      <c r="H218" s="56">
        <v>60</v>
      </c>
      <c r="I218" s="771">
        <v>79</v>
      </c>
      <c r="J218" s="709">
        <v>1.48</v>
      </c>
      <c r="K218" s="657">
        <v>1.4</v>
      </c>
      <c r="L218" s="769">
        <v>2.5</v>
      </c>
      <c r="M218" s="59"/>
    </row>
    <row r="219" spans="1:13" ht="18" customHeight="1" x14ac:dyDescent="0.35">
      <c r="A219" s="223">
        <v>29</v>
      </c>
      <c r="B219" s="51">
        <v>27</v>
      </c>
      <c r="C219" s="60">
        <v>12</v>
      </c>
      <c r="D219" s="41">
        <f t="shared" si="38"/>
        <v>19.5</v>
      </c>
      <c r="E219" s="61">
        <v>9.8000000000000007</v>
      </c>
      <c r="F219" s="40"/>
      <c r="G219" s="91">
        <v>87</v>
      </c>
      <c r="H219" s="56">
        <v>46</v>
      </c>
      <c r="I219" s="770">
        <v>83</v>
      </c>
      <c r="J219" s="709">
        <v>1.51</v>
      </c>
      <c r="K219" s="657">
        <v>1.5</v>
      </c>
      <c r="L219" s="769">
        <v>2.5</v>
      </c>
      <c r="M219" s="59"/>
    </row>
    <row r="220" spans="1:13" ht="18" customHeight="1" x14ac:dyDescent="0.35">
      <c r="A220" s="223">
        <v>30</v>
      </c>
      <c r="B220" s="51">
        <v>29</v>
      </c>
      <c r="C220" s="60">
        <v>11.6</v>
      </c>
      <c r="D220" s="41">
        <f t="shared" si="38"/>
        <v>20.3</v>
      </c>
      <c r="E220" s="53">
        <v>9.4</v>
      </c>
      <c r="F220" s="40"/>
      <c r="G220" s="678">
        <v>82</v>
      </c>
      <c r="H220" s="56">
        <v>40</v>
      </c>
      <c r="I220" s="771">
        <v>78</v>
      </c>
      <c r="J220" s="709">
        <v>1.48</v>
      </c>
      <c r="K220" s="657">
        <v>1.3</v>
      </c>
      <c r="L220" s="769">
        <v>2</v>
      </c>
      <c r="M220" s="59"/>
    </row>
    <row r="221" spans="1:13" ht="18" customHeight="1" thickBot="1" x14ac:dyDescent="0.4">
      <c r="A221" s="311">
        <v>31</v>
      </c>
      <c r="B221" s="51">
        <v>30.2</v>
      </c>
      <c r="C221" s="60">
        <v>12.4</v>
      </c>
      <c r="D221" s="41">
        <f t="shared" si="38"/>
        <v>21.3</v>
      </c>
      <c r="E221" s="53">
        <v>10.199999999999999</v>
      </c>
      <c r="F221" s="775"/>
      <c r="G221" s="680">
        <v>85</v>
      </c>
      <c r="H221" s="99">
        <v>42</v>
      </c>
      <c r="I221" s="776">
        <v>85</v>
      </c>
      <c r="J221" s="728">
        <v>1.46</v>
      </c>
      <c r="K221" s="657">
        <v>1.5</v>
      </c>
      <c r="L221" s="769">
        <v>2.5</v>
      </c>
      <c r="M221" s="232"/>
    </row>
    <row r="222" spans="1:13" ht="18" customHeight="1" thickBot="1" x14ac:dyDescent="0.4">
      <c r="A222" s="329" t="s">
        <v>35</v>
      </c>
      <c r="B222" s="382">
        <f>SUM(B211:B221)</f>
        <v>288.99999999999994</v>
      </c>
      <c r="C222" s="382">
        <f>SUM(C211:C221)</f>
        <v>141.6</v>
      </c>
      <c r="D222" s="382">
        <f>SUM(D211:D221)</f>
        <v>215.3</v>
      </c>
      <c r="E222" s="382">
        <f>SUM(E211:E221)</f>
        <v>115.00000000000001</v>
      </c>
      <c r="F222" s="383">
        <f>SUM(F211:F221)</f>
        <v>0</v>
      </c>
      <c r="G222" s="384">
        <f t="shared" ref="G222:M222" si="39">SUM(G211:G221)</f>
        <v>938</v>
      </c>
      <c r="H222" s="384">
        <f t="shared" si="39"/>
        <v>606</v>
      </c>
      <c r="I222" s="385">
        <f t="shared" si="39"/>
        <v>904</v>
      </c>
      <c r="J222" s="386">
        <f t="shared" si="39"/>
        <v>17.5</v>
      </c>
      <c r="K222" s="382">
        <f t="shared" si="39"/>
        <v>18.5</v>
      </c>
      <c r="L222" s="382">
        <f t="shared" si="39"/>
        <v>31</v>
      </c>
      <c r="M222" s="387">
        <f t="shared" si="39"/>
        <v>0</v>
      </c>
    </row>
    <row r="223" spans="1:13" ht="18" customHeight="1" thickBot="1" x14ac:dyDescent="0.4">
      <c r="A223" s="335" t="s">
        <v>36</v>
      </c>
      <c r="B223" s="249">
        <f>B222+B210+B199</f>
        <v>719</v>
      </c>
      <c r="C223" s="249">
        <f t="shared" ref="C223:M223" si="40">C222+C210+C199</f>
        <v>375.6</v>
      </c>
      <c r="D223" s="249">
        <f t="shared" si="40"/>
        <v>547.30000000000007</v>
      </c>
      <c r="E223" s="249">
        <f t="shared" si="40"/>
        <v>295</v>
      </c>
      <c r="F223" s="249">
        <f t="shared" si="40"/>
        <v>19.3</v>
      </c>
      <c r="G223" s="249">
        <f t="shared" si="40"/>
        <v>2715</v>
      </c>
      <c r="H223" s="249">
        <f t="shared" si="40"/>
        <v>1999</v>
      </c>
      <c r="I223" s="249">
        <f t="shared" si="40"/>
        <v>2590</v>
      </c>
      <c r="J223" s="388">
        <f t="shared" si="40"/>
        <v>50.870000000000005</v>
      </c>
      <c r="K223" s="249">
        <f t="shared" si="40"/>
        <v>56.900000000000006</v>
      </c>
      <c r="L223" s="249">
        <f t="shared" si="40"/>
        <v>95.5</v>
      </c>
      <c r="M223" s="257">
        <f t="shared" si="40"/>
        <v>0</v>
      </c>
    </row>
    <row r="224" spans="1:13" ht="18" customHeight="1" thickBot="1" x14ac:dyDescent="0.4">
      <c r="A224" s="337" t="s">
        <v>19</v>
      </c>
      <c r="B224" s="259">
        <f>B223/31</f>
        <v>23.193548387096776</v>
      </c>
      <c r="C224" s="259">
        <f t="shared" ref="C224:J224" si="41">C223/31</f>
        <v>12.116129032258065</v>
      </c>
      <c r="D224" s="259">
        <f t="shared" si="41"/>
        <v>17.654838709677421</v>
      </c>
      <c r="E224" s="259">
        <f t="shared" si="41"/>
        <v>9.5161290322580641</v>
      </c>
      <c r="F224" s="249" t="s">
        <v>65</v>
      </c>
      <c r="G224" s="257">
        <f t="shared" si="41"/>
        <v>87.58064516129032</v>
      </c>
      <c r="H224" s="259">
        <f t="shared" si="41"/>
        <v>64.483870967741936</v>
      </c>
      <c r="I224" s="259">
        <f t="shared" si="41"/>
        <v>83.548387096774192</v>
      </c>
      <c r="J224" s="390">
        <f t="shared" si="41"/>
        <v>1.640967741935484</v>
      </c>
      <c r="K224" s="267"/>
      <c r="L224" s="268"/>
      <c r="M224" s="343"/>
    </row>
    <row r="225" spans="1:13" ht="15" thickBot="1" x14ac:dyDescent="0.4">
      <c r="F225" s="4"/>
      <c r="G225" s="4"/>
      <c r="H225" s="4"/>
      <c r="I225" s="4"/>
      <c r="J225" s="4"/>
      <c r="K225" s="4"/>
      <c r="L225" s="4"/>
      <c r="M225" s="4"/>
    </row>
    <row r="226" spans="1:13" ht="16" thickBot="1" x14ac:dyDescent="0.4">
      <c r="A226" s="933" t="s">
        <v>0</v>
      </c>
      <c r="B226" s="934"/>
      <c r="C226" s="934"/>
      <c r="D226" s="934"/>
      <c r="E226" s="934"/>
      <c r="F226" s="935"/>
      <c r="G226" s="4"/>
      <c r="H226" s="4"/>
      <c r="I226" s="4"/>
      <c r="J226" s="4"/>
      <c r="K226" s="4"/>
      <c r="L226" s="4"/>
      <c r="M226" s="4"/>
    </row>
    <row r="227" spans="1:13" ht="15.5" x14ac:dyDescent="0.35">
      <c r="A227" s="936" t="s">
        <v>2</v>
      </c>
      <c r="B227" s="937"/>
      <c r="C227" s="937"/>
      <c r="D227" s="937"/>
      <c r="E227" s="937"/>
      <c r="F227" s="938"/>
      <c r="G227" s="4"/>
      <c r="H227" s="4"/>
      <c r="I227" s="933" t="s">
        <v>3</v>
      </c>
      <c r="J227" s="934"/>
      <c r="K227" s="934"/>
      <c r="L227" s="934"/>
      <c r="M227" s="935"/>
    </row>
    <row r="228" spans="1:13" ht="15.5" x14ac:dyDescent="0.35">
      <c r="A228" s="936" t="s">
        <v>4</v>
      </c>
      <c r="B228" s="937"/>
      <c r="C228" s="937"/>
      <c r="D228" s="937"/>
      <c r="E228" s="937"/>
      <c r="F228" s="938"/>
      <c r="G228" s="4"/>
      <c r="H228" s="4"/>
      <c r="I228" s="936" t="s">
        <v>61</v>
      </c>
      <c r="J228" s="937"/>
      <c r="K228" s="937"/>
      <c r="L228" s="937"/>
      <c r="M228" s="938"/>
    </row>
    <row r="229" spans="1:13" ht="16" thickBot="1" x14ac:dyDescent="0.4">
      <c r="A229" s="921" t="s">
        <v>6</v>
      </c>
      <c r="B229" s="922"/>
      <c r="C229" s="922"/>
      <c r="D229" s="922"/>
      <c r="E229" s="922"/>
      <c r="F229" s="923"/>
      <c r="G229" s="4"/>
      <c r="H229" s="4"/>
      <c r="I229" s="921" t="s">
        <v>66</v>
      </c>
      <c r="J229" s="922"/>
      <c r="K229" s="922"/>
      <c r="L229" s="922"/>
      <c r="M229" s="923"/>
    </row>
    <row r="230" spans="1:13" ht="26" thickBot="1" x14ac:dyDescent="0.65">
      <c r="A230" s="17" t="s">
        <v>39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8" customHeight="1" thickBot="1" x14ac:dyDescent="0.4">
      <c r="A231" s="909" t="s">
        <v>10</v>
      </c>
      <c r="B231" s="939" t="s">
        <v>11</v>
      </c>
      <c r="C231" s="940"/>
      <c r="D231" s="940"/>
      <c r="E231" s="941"/>
      <c r="F231" s="18" t="s">
        <v>12</v>
      </c>
      <c r="G231" s="912" t="s">
        <v>13</v>
      </c>
      <c r="H231" s="913"/>
      <c r="I231" s="914"/>
      <c r="J231" s="19" t="s">
        <v>14</v>
      </c>
      <c r="K231" s="912" t="s">
        <v>15</v>
      </c>
      <c r="L231" s="914"/>
      <c r="M231" s="20" t="s">
        <v>16</v>
      </c>
    </row>
    <row r="232" spans="1:13" ht="18" customHeight="1" thickBot="1" x14ac:dyDescent="0.4">
      <c r="A232" s="910"/>
      <c r="B232" s="391" t="s">
        <v>17</v>
      </c>
      <c r="C232" s="392" t="s">
        <v>18</v>
      </c>
      <c r="D232" s="392" t="s">
        <v>19</v>
      </c>
      <c r="E232" s="393" t="s">
        <v>18</v>
      </c>
      <c r="F232" s="24" t="s">
        <v>20</v>
      </c>
      <c r="G232" s="945" t="s">
        <v>21</v>
      </c>
      <c r="H232" s="946"/>
      <c r="I232" s="947"/>
      <c r="J232" s="26" t="s">
        <v>22</v>
      </c>
      <c r="K232" s="942" t="s">
        <v>23</v>
      </c>
      <c r="L232" s="944"/>
      <c r="M232" s="27" t="s">
        <v>24</v>
      </c>
    </row>
    <row r="233" spans="1:13" ht="18" customHeight="1" thickBot="1" x14ac:dyDescent="0.4">
      <c r="A233" s="911"/>
      <c r="B233" s="28" t="s">
        <v>25</v>
      </c>
      <c r="C233" s="29" t="s">
        <v>25</v>
      </c>
      <c r="D233" s="29"/>
      <c r="E233" s="394" t="s">
        <v>26</v>
      </c>
      <c r="F233" s="777" t="s">
        <v>27</v>
      </c>
      <c r="G233" s="391" t="s">
        <v>28</v>
      </c>
      <c r="H233" s="392" t="s">
        <v>29</v>
      </c>
      <c r="I233" s="393" t="s">
        <v>30</v>
      </c>
      <c r="J233" s="778" t="s">
        <v>31</v>
      </c>
      <c r="K233" s="397" t="s">
        <v>32</v>
      </c>
      <c r="L233" s="394" t="s">
        <v>33</v>
      </c>
      <c r="M233" s="37" t="s">
        <v>34</v>
      </c>
    </row>
    <row r="234" spans="1:13" ht="18" customHeight="1" x14ac:dyDescent="0.35">
      <c r="A234" s="674">
        <v>1</v>
      </c>
      <c r="B234" s="779">
        <v>29.6</v>
      </c>
      <c r="C234" s="40">
        <v>17</v>
      </c>
      <c r="D234" s="40">
        <f>(B234+C234)/2</f>
        <v>23.3</v>
      </c>
      <c r="E234" s="707">
        <v>14.2</v>
      </c>
      <c r="F234" s="780"/>
      <c r="G234" s="674">
        <v>89</v>
      </c>
      <c r="H234" s="45">
        <v>56</v>
      </c>
      <c r="I234" s="768">
        <v>86</v>
      </c>
      <c r="J234" s="705">
        <v>1.7</v>
      </c>
      <c r="K234" s="41">
        <v>2.5</v>
      </c>
      <c r="L234" s="42">
        <v>4</v>
      </c>
      <c r="M234" s="399"/>
    </row>
    <row r="235" spans="1:13" ht="18" customHeight="1" x14ac:dyDescent="0.35">
      <c r="A235" s="82">
        <v>2</v>
      </c>
      <c r="B235" s="688">
        <v>26</v>
      </c>
      <c r="C235" s="52">
        <v>16.399999999999999</v>
      </c>
      <c r="D235" s="40">
        <f t="shared" ref="D235:D243" si="42">(B235+C235)/2</f>
        <v>21.2</v>
      </c>
      <c r="E235" s="61">
        <v>13.8</v>
      </c>
      <c r="F235" s="635"/>
      <c r="G235" s="82">
        <v>88</v>
      </c>
      <c r="H235" s="56">
        <v>64</v>
      </c>
      <c r="I235" s="771">
        <v>84</v>
      </c>
      <c r="J235" s="709">
        <v>1.56</v>
      </c>
      <c r="K235" s="41">
        <v>2.1</v>
      </c>
      <c r="L235" s="53">
        <v>3.5</v>
      </c>
      <c r="M235" s="401"/>
    </row>
    <row r="236" spans="1:13" ht="18" customHeight="1" x14ac:dyDescent="0.35">
      <c r="A236" s="82">
        <v>3</v>
      </c>
      <c r="B236" s="688">
        <v>22.2</v>
      </c>
      <c r="C236" s="52">
        <v>15.6</v>
      </c>
      <c r="D236" s="40">
        <f t="shared" si="42"/>
        <v>18.899999999999999</v>
      </c>
      <c r="E236" s="61">
        <v>13</v>
      </c>
      <c r="F236" s="635"/>
      <c r="G236" s="82">
        <v>86</v>
      </c>
      <c r="H236" s="56">
        <v>70</v>
      </c>
      <c r="I236" s="771">
        <v>84</v>
      </c>
      <c r="J236" s="709">
        <v>1.78</v>
      </c>
      <c r="K236" s="41">
        <v>1.6</v>
      </c>
      <c r="L236" s="53">
        <v>2.5</v>
      </c>
      <c r="M236" s="402"/>
    </row>
    <row r="237" spans="1:13" ht="18" customHeight="1" x14ac:dyDescent="0.35">
      <c r="A237" s="82">
        <v>4</v>
      </c>
      <c r="B237" s="688">
        <v>24.4</v>
      </c>
      <c r="C237" s="52">
        <v>15.4</v>
      </c>
      <c r="D237" s="40">
        <f t="shared" si="42"/>
        <v>19.899999999999999</v>
      </c>
      <c r="E237" s="61">
        <v>13.6</v>
      </c>
      <c r="F237" s="635"/>
      <c r="G237" s="82">
        <v>88</v>
      </c>
      <c r="H237" s="56">
        <v>72</v>
      </c>
      <c r="I237" s="771">
        <v>82</v>
      </c>
      <c r="J237" s="709">
        <v>1.34</v>
      </c>
      <c r="K237" s="41">
        <v>1.4</v>
      </c>
      <c r="L237" s="53">
        <v>2.5</v>
      </c>
      <c r="M237" s="401"/>
    </row>
    <row r="238" spans="1:13" ht="18" customHeight="1" x14ac:dyDescent="0.35">
      <c r="A238" s="82">
        <v>5</v>
      </c>
      <c r="B238" s="688">
        <v>25.6</v>
      </c>
      <c r="C238" s="52">
        <v>14.8</v>
      </c>
      <c r="D238" s="40">
        <f t="shared" si="42"/>
        <v>20.200000000000003</v>
      </c>
      <c r="E238" s="61">
        <v>10.6</v>
      </c>
      <c r="F238" s="635"/>
      <c r="G238" s="82">
        <v>85</v>
      </c>
      <c r="H238" s="56">
        <v>63</v>
      </c>
      <c r="I238" s="770">
        <v>83</v>
      </c>
      <c r="J238" s="709">
        <v>1.31</v>
      </c>
      <c r="K238" s="41">
        <v>1.7</v>
      </c>
      <c r="L238" s="53">
        <v>3</v>
      </c>
      <c r="M238" s="401"/>
    </row>
    <row r="239" spans="1:13" ht="18" customHeight="1" x14ac:dyDescent="0.35">
      <c r="A239" s="82">
        <v>6</v>
      </c>
      <c r="B239" s="688">
        <v>25</v>
      </c>
      <c r="C239" s="52">
        <v>15.6</v>
      </c>
      <c r="D239" s="40">
        <f t="shared" si="42"/>
        <v>20.3</v>
      </c>
      <c r="E239" s="61">
        <v>12.4</v>
      </c>
      <c r="F239" s="635"/>
      <c r="G239" s="82">
        <v>86</v>
      </c>
      <c r="H239" s="56">
        <v>67</v>
      </c>
      <c r="I239" s="771">
        <v>80</v>
      </c>
      <c r="J239" s="709">
        <v>1.4</v>
      </c>
      <c r="K239" s="41">
        <v>1.3</v>
      </c>
      <c r="L239" s="53">
        <v>2</v>
      </c>
      <c r="M239" s="401"/>
    </row>
    <row r="240" spans="1:13" ht="18" customHeight="1" x14ac:dyDescent="0.35">
      <c r="A240" s="82">
        <v>7</v>
      </c>
      <c r="B240" s="688">
        <v>25.8</v>
      </c>
      <c r="C240" s="52">
        <v>15</v>
      </c>
      <c r="D240" s="40">
        <f t="shared" si="42"/>
        <v>20.399999999999999</v>
      </c>
      <c r="E240" s="61">
        <v>12</v>
      </c>
      <c r="F240" s="635"/>
      <c r="G240" s="82">
        <v>87</v>
      </c>
      <c r="H240" s="56">
        <v>70</v>
      </c>
      <c r="I240" s="771">
        <v>83</v>
      </c>
      <c r="J240" s="709">
        <v>1.62</v>
      </c>
      <c r="K240" s="41">
        <v>2.5</v>
      </c>
      <c r="L240" s="53">
        <v>4</v>
      </c>
      <c r="M240" s="401"/>
    </row>
    <row r="241" spans="1:13" ht="18" customHeight="1" x14ac:dyDescent="0.35">
      <c r="A241" s="82">
        <v>8</v>
      </c>
      <c r="B241" s="688">
        <v>25.2</v>
      </c>
      <c r="C241" s="52">
        <v>14.8</v>
      </c>
      <c r="D241" s="40">
        <f t="shared" si="42"/>
        <v>20</v>
      </c>
      <c r="E241" s="61">
        <v>11.6</v>
      </c>
      <c r="F241" s="635"/>
      <c r="G241" s="82">
        <v>85</v>
      </c>
      <c r="H241" s="56">
        <v>74</v>
      </c>
      <c r="I241" s="771">
        <v>82</v>
      </c>
      <c r="J241" s="709">
        <v>2</v>
      </c>
      <c r="K241" s="41">
        <v>1.6</v>
      </c>
      <c r="L241" s="53">
        <v>2.5</v>
      </c>
      <c r="M241" s="401"/>
    </row>
    <row r="242" spans="1:13" ht="18" customHeight="1" x14ac:dyDescent="0.35">
      <c r="A242" s="82">
        <v>9</v>
      </c>
      <c r="B242" s="688">
        <v>24.8</v>
      </c>
      <c r="C242" s="52">
        <v>14.6</v>
      </c>
      <c r="D242" s="40">
        <f t="shared" si="42"/>
        <v>19.7</v>
      </c>
      <c r="E242" s="61">
        <v>11.4</v>
      </c>
      <c r="F242" s="635"/>
      <c r="G242" s="82">
        <v>87</v>
      </c>
      <c r="H242" s="56">
        <v>70</v>
      </c>
      <c r="I242" s="771">
        <v>85</v>
      </c>
      <c r="J242" s="709">
        <v>1.63</v>
      </c>
      <c r="K242" s="41">
        <v>2</v>
      </c>
      <c r="L242" s="53">
        <v>3.5</v>
      </c>
      <c r="M242" s="401"/>
    </row>
    <row r="243" spans="1:13" ht="18" customHeight="1" thickBot="1" x14ac:dyDescent="0.4">
      <c r="A243" s="676">
        <v>10</v>
      </c>
      <c r="B243" s="688">
        <v>24.6</v>
      </c>
      <c r="C243" s="52">
        <v>14</v>
      </c>
      <c r="D243" s="40">
        <f t="shared" si="42"/>
        <v>19.3</v>
      </c>
      <c r="E243" s="61">
        <v>11</v>
      </c>
      <c r="F243" s="124"/>
      <c r="G243" s="82">
        <v>85</v>
      </c>
      <c r="H243" s="56">
        <v>72</v>
      </c>
      <c r="I243" s="770">
        <v>82</v>
      </c>
      <c r="J243" s="709">
        <v>1.87</v>
      </c>
      <c r="K243" s="41">
        <v>1.7</v>
      </c>
      <c r="L243" s="53">
        <v>3</v>
      </c>
      <c r="M243" s="405"/>
    </row>
    <row r="244" spans="1:13" ht="18" customHeight="1" thickBot="1" x14ac:dyDescent="0.4">
      <c r="A244" s="781" t="s">
        <v>35</v>
      </c>
      <c r="B244" s="407">
        <f>SUM(B234:B243)</f>
        <v>253.2</v>
      </c>
      <c r="C244" s="407">
        <f>SUM(C234:C243)</f>
        <v>153.19999999999999</v>
      </c>
      <c r="D244" s="408">
        <f>SUM(D234:D243)</f>
        <v>203.2</v>
      </c>
      <c r="E244" s="415">
        <f>SUM(E234:E243)</f>
        <v>123.60000000000001</v>
      </c>
      <c r="F244" s="559">
        <f>SUM(F234:F243)</f>
        <v>0</v>
      </c>
      <c r="G244" s="582">
        <f t="shared" ref="G244:M244" si="43">SUM(G234:G243)</f>
        <v>866</v>
      </c>
      <c r="H244" s="412">
        <f t="shared" si="43"/>
        <v>678</v>
      </c>
      <c r="I244" s="556">
        <f t="shared" si="43"/>
        <v>831</v>
      </c>
      <c r="J244" s="782">
        <f t="shared" si="43"/>
        <v>16.21</v>
      </c>
      <c r="K244" s="407">
        <f t="shared" si="43"/>
        <v>18.399999999999999</v>
      </c>
      <c r="L244" s="410">
        <f t="shared" si="43"/>
        <v>30.5</v>
      </c>
      <c r="M244" s="415">
        <f t="shared" si="43"/>
        <v>0</v>
      </c>
    </row>
    <row r="245" spans="1:13" ht="18" customHeight="1" x14ac:dyDescent="0.35">
      <c r="A245" s="316">
        <v>11</v>
      </c>
      <c r="B245" s="779">
        <v>29.6</v>
      </c>
      <c r="C245" s="40">
        <v>17</v>
      </c>
      <c r="D245" s="40">
        <f>(B245+C245)/2</f>
        <v>23.3</v>
      </c>
      <c r="E245" s="707">
        <v>14.2</v>
      </c>
      <c r="F245" s="635"/>
      <c r="G245" s="82">
        <v>86</v>
      </c>
      <c r="H245" s="56">
        <v>67</v>
      </c>
      <c r="I245" s="771">
        <v>82</v>
      </c>
      <c r="J245" s="709">
        <v>1.48</v>
      </c>
      <c r="K245" s="41">
        <v>1.5</v>
      </c>
      <c r="L245" s="53">
        <v>2.5</v>
      </c>
      <c r="M245" s="401"/>
    </row>
    <row r="246" spans="1:13" ht="18" customHeight="1" x14ac:dyDescent="0.35">
      <c r="A246" s="223">
        <v>12</v>
      </c>
      <c r="B246" s="688">
        <v>26</v>
      </c>
      <c r="C246" s="52">
        <v>16.399999999999999</v>
      </c>
      <c r="D246" s="40">
        <f t="shared" ref="D246:D254" si="44">(B246+C246)/2</f>
        <v>21.2</v>
      </c>
      <c r="E246" s="61">
        <v>13.8</v>
      </c>
      <c r="F246" s="635"/>
      <c r="G246" s="82">
        <v>90</v>
      </c>
      <c r="H246" s="56">
        <v>74</v>
      </c>
      <c r="I246" s="770">
        <v>87</v>
      </c>
      <c r="J246" s="709">
        <v>2.5099999999999998</v>
      </c>
      <c r="K246" s="41">
        <v>2.5</v>
      </c>
      <c r="L246" s="42">
        <v>4</v>
      </c>
      <c r="M246" s="401"/>
    </row>
    <row r="247" spans="1:13" ht="18" customHeight="1" x14ac:dyDescent="0.35">
      <c r="A247" s="223">
        <v>13</v>
      </c>
      <c r="B247" s="688">
        <v>22.2</v>
      </c>
      <c r="C247" s="52">
        <v>15.6</v>
      </c>
      <c r="D247" s="40">
        <f t="shared" si="44"/>
        <v>18.899999999999999</v>
      </c>
      <c r="E247" s="61">
        <v>13</v>
      </c>
      <c r="F247" s="635"/>
      <c r="G247" s="678">
        <v>88</v>
      </c>
      <c r="H247" s="56">
        <v>58</v>
      </c>
      <c r="I247" s="771">
        <v>84</v>
      </c>
      <c r="J247" s="709">
        <v>1.73</v>
      </c>
      <c r="K247" s="41">
        <v>2.7</v>
      </c>
      <c r="L247" s="42">
        <v>4.5</v>
      </c>
      <c r="M247" s="402"/>
    </row>
    <row r="248" spans="1:13" ht="18" customHeight="1" x14ac:dyDescent="0.35">
      <c r="A248" s="223">
        <v>14</v>
      </c>
      <c r="B248" s="688">
        <v>24.4</v>
      </c>
      <c r="C248" s="52">
        <v>15.4</v>
      </c>
      <c r="D248" s="40">
        <f t="shared" si="44"/>
        <v>19.899999999999999</v>
      </c>
      <c r="E248" s="61">
        <v>13.6</v>
      </c>
      <c r="F248" s="635"/>
      <c r="G248" s="91">
        <v>88</v>
      </c>
      <c r="H248" s="56">
        <v>64</v>
      </c>
      <c r="I248" s="770">
        <v>84</v>
      </c>
      <c r="J248" s="709">
        <v>1.29</v>
      </c>
      <c r="K248" s="41">
        <v>1.3</v>
      </c>
      <c r="L248" s="42">
        <v>2</v>
      </c>
      <c r="M248" s="401"/>
    </row>
    <row r="249" spans="1:13" ht="18" customHeight="1" x14ac:dyDescent="0.35">
      <c r="A249" s="223">
        <v>15</v>
      </c>
      <c r="B249" s="688">
        <v>25.6</v>
      </c>
      <c r="C249" s="52">
        <v>14.8</v>
      </c>
      <c r="D249" s="40">
        <f t="shared" si="44"/>
        <v>20.200000000000003</v>
      </c>
      <c r="E249" s="61">
        <v>10.6</v>
      </c>
      <c r="F249" s="635"/>
      <c r="G249" s="82">
        <v>86</v>
      </c>
      <c r="H249" s="56">
        <v>60</v>
      </c>
      <c r="I249" s="771">
        <v>83</v>
      </c>
      <c r="J249" s="709">
        <v>1.7</v>
      </c>
      <c r="K249" s="41">
        <v>1.6</v>
      </c>
      <c r="L249" s="42">
        <v>2.5</v>
      </c>
      <c r="M249" s="401"/>
    </row>
    <row r="250" spans="1:13" ht="18" customHeight="1" x14ac:dyDescent="0.35">
      <c r="A250" s="223">
        <v>16</v>
      </c>
      <c r="B250" s="688">
        <v>25</v>
      </c>
      <c r="C250" s="52">
        <v>15.6</v>
      </c>
      <c r="D250" s="40">
        <f t="shared" si="44"/>
        <v>20.3</v>
      </c>
      <c r="E250" s="61">
        <v>12.4</v>
      </c>
      <c r="F250" s="635"/>
      <c r="G250" s="678">
        <v>90</v>
      </c>
      <c r="H250" s="56">
        <v>54</v>
      </c>
      <c r="I250" s="771">
        <v>87</v>
      </c>
      <c r="J250" s="709">
        <v>1.39</v>
      </c>
      <c r="K250" s="41">
        <v>2.7</v>
      </c>
      <c r="L250" s="42">
        <v>4.5</v>
      </c>
      <c r="M250" s="401"/>
    </row>
    <row r="251" spans="1:13" ht="18" customHeight="1" x14ac:dyDescent="0.35">
      <c r="A251" s="223">
        <v>17</v>
      </c>
      <c r="B251" s="688">
        <v>25.8</v>
      </c>
      <c r="C251" s="52">
        <v>15</v>
      </c>
      <c r="D251" s="40">
        <f t="shared" si="44"/>
        <v>20.399999999999999</v>
      </c>
      <c r="E251" s="61">
        <v>12</v>
      </c>
      <c r="F251" s="635"/>
      <c r="G251" s="82">
        <v>86</v>
      </c>
      <c r="H251" s="56">
        <v>65</v>
      </c>
      <c r="I251" s="771">
        <v>84</v>
      </c>
      <c r="J251" s="709">
        <v>1.83</v>
      </c>
      <c r="K251" s="41">
        <v>2</v>
      </c>
      <c r="L251" s="42">
        <v>3.5</v>
      </c>
      <c r="M251" s="401"/>
    </row>
    <row r="252" spans="1:13" ht="18" customHeight="1" x14ac:dyDescent="0.35">
      <c r="A252" s="223">
        <v>18</v>
      </c>
      <c r="B252" s="688">
        <v>25.2</v>
      </c>
      <c r="C252" s="52">
        <v>14.8</v>
      </c>
      <c r="D252" s="40">
        <f t="shared" si="44"/>
        <v>20</v>
      </c>
      <c r="E252" s="61">
        <v>11.6</v>
      </c>
      <c r="F252" s="635"/>
      <c r="G252" s="82">
        <v>89</v>
      </c>
      <c r="H252" s="56">
        <v>75</v>
      </c>
      <c r="I252" s="770">
        <v>84</v>
      </c>
      <c r="J252" s="709">
        <v>1.76</v>
      </c>
      <c r="K252" s="41">
        <v>2.5</v>
      </c>
      <c r="L252" s="42">
        <v>4</v>
      </c>
      <c r="M252" s="401"/>
    </row>
    <row r="253" spans="1:13" ht="18" customHeight="1" x14ac:dyDescent="0.35">
      <c r="A253" s="223">
        <v>19</v>
      </c>
      <c r="B253" s="688">
        <v>24.8</v>
      </c>
      <c r="C253" s="52">
        <v>14.6</v>
      </c>
      <c r="D253" s="40">
        <f t="shared" si="44"/>
        <v>19.7</v>
      </c>
      <c r="E253" s="61">
        <v>11.4</v>
      </c>
      <c r="F253" s="635"/>
      <c r="G253" s="55"/>
      <c r="H253" s="56"/>
      <c r="I253" s="57"/>
      <c r="J253" s="783"/>
      <c r="K253" s="42"/>
      <c r="L253" s="59"/>
      <c r="M253" s="401"/>
    </row>
    <row r="254" spans="1:13" ht="18" customHeight="1" thickBot="1" x14ac:dyDescent="0.4">
      <c r="A254" s="311">
        <v>20</v>
      </c>
      <c r="B254" s="688">
        <v>24.6</v>
      </c>
      <c r="C254" s="52">
        <v>14</v>
      </c>
      <c r="D254" s="40">
        <f t="shared" si="44"/>
        <v>19.3</v>
      </c>
      <c r="E254" s="61">
        <v>11</v>
      </c>
      <c r="F254" s="124"/>
      <c r="G254" s="65"/>
      <c r="H254" s="66"/>
      <c r="I254" s="67"/>
      <c r="J254" s="783"/>
      <c r="K254" s="42"/>
      <c r="L254" s="59"/>
      <c r="M254" s="405"/>
    </row>
    <row r="255" spans="1:13" ht="18" customHeight="1" thickBot="1" x14ac:dyDescent="0.4">
      <c r="A255" s="501" t="s">
        <v>35</v>
      </c>
      <c r="B255" s="407">
        <f>SUM(B245:B254)</f>
        <v>253.2</v>
      </c>
      <c r="C255" s="407">
        <f>SUM(C245:C254)</f>
        <v>153.19999999999999</v>
      </c>
      <c r="D255" s="408">
        <f>SUM(D245:D254)</f>
        <v>203.2</v>
      </c>
      <c r="E255" s="415">
        <f>SUM(E245:E254)</f>
        <v>123.60000000000001</v>
      </c>
      <c r="F255" s="559">
        <f>SUM(F245:F254)</f>
        <v>0</v>
      </c>
      <c r="G255" s="557">
        <f t="shared" ref="G255:M255" si="45">SUM(G245:G254)</f>
        <v>703</v>
      </c>
      <c r="H255" s="412">
        <f t="shared" si="45"/>
        <v>517</v>
      </c>
      <c r="I255" s="556">
        <f t="shared" si="45"/>
        <v>675</v>
      </c>
      <c r="J255" s="782">
        <f t="shared" si="45"/>
        <v>13.69</v>
      </c>
      <c r="K255" s="407">
        <f t="shared" si="45"/>
        <v>16.8</v>
      </c>
      <c r="L255" s="416">
        <f t="shared" si="45"/>
        <v>27.5</v>
      </c>
      <c r="M255" s="415">
        <f t="shared" si="45"/>
        <v>0</v>
      </c>
    </row>
    <row r="256" spans="1:13" ht="18" customHeight="1" x14ac:dyDescent="0.35">
      <c r="A256" s="316">
        <v>21</v>
      </c>
      <c r="B256" s="51"/>
      <c r="C256" s="60"/>
      <c r="D256" s="41"/>
      <c r="E256" s="61"/>
      <c r="F256" s="635"/>
      <c r="G256" s="79"/>
      <c r="H256" s="80"/>
      <c r="I256" s="81"/>
      <c r="J256" s="783"/>
      <c r="K256" s="42"/>
      <c r="L256" s="59"/>
      <c r="M256" s="401"/>
    </row>
    <row r="257" spans="1:13" ht="18" customHeight="1" x14ac:dyDescent="0.35">
      <c r="A257" s="223">
        <v>22</v>
      </c>
      <c r="B257" s="51"/>
      <c r="C257" s="60"/>
      <c r="D257" s="41"/>
      <c r="E257" s="53"/>
      <c r="F257" s="641"/>
      <c r="G257" s="55"/>
      <c r="H257" s="56"/>
      <c r="I257" s="62"/>
      <c r="J257" s="783"/>
      <c r="K257" s="42"/>
      <c r="L257" s="59"/>
      <c r="M257" s="401"/>
    </row>
    <row r="258" spans="1:13" ht="18" customHeight="1" x14ac:dyDescent="0.35">
      <c r="A258" s="223">
        <v>23</v>
      </c>
      <c r="B258" s="51"/>
      <c r="C258" s="60"/>
      <c r="D258" s="41"/>
      <c r="E258" s="61"/>
      <c r="F258" s="641"/>
      <c r="G258" s="55"/>
      <c r="H258" s="56"/>
      <c r="I258" s="57"/>
      <c r="J258" s="783"/>
      <c r="K258" s="42"/>
      <c r="L258" s="59"/>
      <c r="M258" s="418"/>
    </row>
    <row r="259" spans="1:13" ht="18" customHeight="1" x14ac:dyDescent="0.35">
      <c r="A259" s="223">
        <v>24</v>
      </c>
      <c r="B259" s="51"/>
      <c r="C259" s="60"/>
      <c r="D259" s="41"/>
      <c r="E259" s="61"/>
      <c r="F259" s="641"/>
      <c r="G259" s="55"/>
      <c r="H259" s="56"/>
      <c r="I259" s="57"/>
      <c r="J259" s="783"/>
      <c r="K259" s="42"/>
      <c r="L259" s="59"/>
      <c r="M259" s="418"/>
    </row>
    <row r="260" spans="1:13" ht="18" customHeight="1" x14ac:dyDescent="0.35">
      <c r="A260" s="223">
        <v>25</v>
      </c>
      <c r="B260" s="51"/>
      <c r="C260" s="60"/>
      <c r="D260" s="41"/>
      <c r="E260" s="53"/>
      <c r="F260" s="641"/>
      <c r="G260" s="55"/>
      <c r="H260" s="56"/>
      <c r="I260" s="62"/>
      <c r="J260" s="783"/>
      <c r="K260" s="42"/>
      <c r="L260" s="59"/>
      <c r="M260" s="418"/>
    </row>
    <row r="261" spans="1:13" ht="18" customHeight="1" x14ac:dyDescent="0.35">
      <c r="A261" s="223">
        <v>26</v>
      </c>
      <c r="B261" s="51"/>
      <c r="C261" s="60"/>
      <c r="D261" s="41"/>
      <c r="E261" s="53"/>
      <c r="F261" s="641"/>
      <c r="G261" s="55"/>
      <c r="H261" s="56"/>
      <c r="I261" s="57"/>
      <c r="J261" s="783"/>
      <c r="K261" s="42"/>
      <c r="L261" s="59"/>
      <c r="M261" s="418"/>
    </row>
    <row r="262" spans="1:13" ht="18" customHeight="1" x14ac:dyDescent="0.35">
      <c r="A262" s="223">
        <v>27</v>
      </c>
      <c r="B262" s="51"/>
      <c r="C262" s="60"/>
      <c r="D262" s="41"/>
      <c r="E262" s="53"/>
      <c r="F262" s="641"/>
      <c r="G262" s="55"/>
      <c r="H262" s="56"/>
      <c r="I262" s="62"/>
      <c r="J262" s="783"/>
      <c r="K262" s="42"/>
      <c r="L262" s="59"/>
      <c r="M262" s="418"/>
    </row>
    <row r="263" spans="1:13" ht="18" customHeight="1" x14ac:dyDescent="0.35">
      <c r="A263" s="223">
        <v>28</v>
      </c>
      <c r="B263" s="51"/>
      <c r="C263" s="60"/>
      <c r="D263" s="41"/>
      <c r="E263" s="53"/>
      <c r="F263" s="641"/>
      <c r="G263" s="55"/>
      <c r="H263" s="56"/>
      <c r="I263" s="62"/>
      <c r="J263" s="783"/>
      <c r="K263" s="42"/>
      <c r="L263" s="59"/>
      <c r="M263" s="418"/>
    </row>
    <row r="264" spans="1:13" ht="18" customHeight="1" x14ac:dyDescent="0.35">
      <c r="A264" s="223">
        <v>29</v>
      </c>
      <c r="B264" s="51"/>
      <c r="C264" s="60"/>
      <c r="D264" s="41"/>
      <c r="E264" s="53"/>
      <c r="F264" s="641"/>
      <c r="G264" s="55"/>
      <c r="H264" s="56"/>
      <c r="I264" s="57"/>
      <c r="J264" s="783"/>
      <c r="K264" s="42"/>
      <c r="L264" s="59"/>
      <c r="M264" s="418"/>
    </row>
    <row r="265" spans="1:13" ht="18" customHeight="1" x14ac:dyDescent="0.35">
      <c r="A265" s="223">
        <v>30</v>
      </c>
      <c r="B265" s="51"/>
      <c r="C265" s="60"/>
      <c r="D265" s="41"/>
      <c r="E265" s="53"/>
      <c r="F265" s="641"/>
      <c r="G265" s="55"/>
      <c r="H265" s="56"/>
      <c r="I265" s="57"/>
      <c r="J265" s="783"/>
      <c r="K265" s="42"/>
      <c r="L265" s="59"/>
      <c r="M265" s="418"/>
    </row>
    <row r="266" spans="1:13" ht="18" customHeight="1" thickBot="1" x14ac:dyDescent="0.4">
      <c r="A266" s="311">
        <v>31</v>
      </c>
      <c r="B266" s="419"/>
      <c r="C266" s="606"/>
      <c r="D266" s="606"/>
      <c r="E266" s="565"/>
      <c r="F266" s="422"/>
      <c r="G266" s="784"/>
      <c r="H266" s="562"/>
      <c r="I266" s="424"/>
      <c r="J266" s="785"/>
      <c r="K266" s="419"/>
      <c r="L266" s="427"/>
      <c r="M266" s="428"/>
    </row>
    <row r="267" spans="1:13" ht="18" customHeight="1" thickBot="1" x14ac:dyDescent="0.4">
      <c r="A267" s="329" t="s">
        <v>35</v>
      </c>
      <c r="B267" s="382">
        <f>SUM(B256:B266)</f>
        <v>0</v>
      </c>
      <c r="C267" s="382">
        <f>SUM(C256:C266)</f>
        <v>0</v>
      </c>
      <c r="D267" s="382">
        <f>SUM(D256:D266)</f>
        <v>0</v>
      </c>
      <c r="E267" s="382">
        <f>SUM(E256:E266)</f>
        <v>0</v>
      </c>
      <c r="F267" s="383">
        <f>SUM(F256:F266)</f>
        <v>0</v>
      </c>
      <c r="G267" s="651">
        <f t="shared" ref="G267:M267" si="46">SUM(G256:G266)</f>
        <v>0</v>
      </c>
      <c r="H267" s="651">
        <f t="shared" si="46"/>
        <v>0</v>
      </c>
      <c r="I267" s="331">
        <f t="shared" si="46"/>
        <v>0</v>
      </c>
      <c r="J267" s="786">
        <f t="shared" si="46"/>
        <v>0</v>
      </c>
      <c r="K267" s="382">
        <f t="shared" si="46"/>
        <v>0</v>
      </c>
      <c r="L267" s="387">
        <f t="shared" si="46"/>
        <v>0</v>
      </c>
      <c r="M267" s="432">
        <f t="shared" si="46"/>
        <v>0</v>
      </c>
    </row>
    <row r="268" spans="1:13" ht="18" customHeight="1" thickBot="1" x14ac:dyDescent="0.4">
      <c r="A268" s="335" t="s">
        <v>36</v>
      </c>
      <c r="B268" s="249">
        <f>B267+B255+B244</f>
        <v>506.4</v>
      </c>
      <c r="C268" s="249">
        <f t="shared" ref="C268:M268" si="47">C267+C255+C244</f>
        <v>306.39999999999998</v>
      </c>
      <c r="D268" s="249">
        <f t="shared" si="47"/>
        <v>406.4</v>
      </c>
      <c r="E268" s="249">
        <f t="shared" si="47"/>
        <v>247.20000000000002</v>
      </c>
      <c r="F268" s="249">
        <f t="shared" si="47"/>
        <v>0</v>
      </c>
      <c r="G268" s="249">
        <f t="shared" si="47"/>
        <v>1569</v>
      </c>
      <c r="H268" s="249">
        <f t="shared" si="47"/>
        <v>1195</v>
      </c>
      <c r="I268" s="257">
        <f t="shared" si="47"/>
        <v>1506</v>
      </c>
      <c r="J268" s="249">
        <f t="shared" si="47"/>
        <v>29.9</v>
      </c>
      <c r="K268" s="249">
        <f t="shared" si="47"/>
        <v>35.200000000000003</v>
      </c>
      <c r="L268" s="249">
        <f t="shared" si="47"/>
        <v>58</v>
      </c>
      <c r="M268" s="249">
        <f t="shared" si="47"/>
        <v>0</v>
      </c>
    </row>
    <row r="269" spans="1:13" ht="18" customHeight="1" thickBot="1" x14ac:dyDescent="0.4">
      <c r="A269" s="337" t="s">
        <v>19</v>
      </c>
      <c r="B269" s="259">
        <f>B268/30</f>
        <v>16.88</v>
      </c>
      <c r="C269" s="259">
        <f t="shared" ref="C269:J269" si="48">C268/30</f>
        <v>10.213333333333333</v>
      </c>
      <c r="D269" s="259">
        <f t="shared" si="48"/>
        <v>13.546666666666665</v>
      </c>
      <c r="E269" s="259">
        <f t="shared" si="48"/>
        <v>8.24</v>
      </c>
      <c r="F269" s="433" t="s">
        <v>48</v>
      </c>
      <c r="G269" s="259">
        <f t="shared" si="48"/>
        <v>52.3</v>
      </c>
      <c r="H269" s="259">
        <f t="shared" si="48"/>
        <v>39.833333333333336</v>
      </c>
      <c r="I269" s="731">
        <f t="shared" si="48"/>
        <v>50.2</v>
      </c>
      <c r="J269" s="259">
        <f t="shared" si="48"/>
        <v>0.99666666666666659</v>
      </c>
      <c r="K269" s="267"/>
      <c r="L269" s="342"/>
      <c r="M269" s="435"/>
    </row>
    <row r="270" spans="1:13" ht="15" thickBot="1" x14ac:dyDescent="0.4">
      <c r="F270" s="4"/>
      <c r="G270" s="4"/>
      <c r="H270" s="4"/>
      <c r="I270" s="4"/>
      <c r="J270" s="4"/>
      <c r="K270" s="4"/>
      <c r="L270" s="4"/>
      <c r="M270" s="4"/>
    </row>
    <row r="271" spans="1:13" ht="16" thickBot="1" x14ac:dyDescent="0.4">
      <c r="A271" s="1" t="s">
        <v>0</v>
      </c>
      <c r="B271" s="436"/>
      <c r="C271" s="436"/>
      <c r="D271" s="436"/>
      <c r="E271" s="436"/>
      <c r="F271" s="3"/>
      <c r="G271" s="4"/>
      <c r="H271" s="4"/>
      <c r="I271" s="4"/>
      <c r="J271" s="4"/>
      <c r="K271" s="4"/>
      <c r="L271" s="4"/>
      <c r="M271" s="4"/>
    </row>
    <row r="272" spans="1:13" ht="15.5" x14ac:dyDescent="0.35">
      <c r="A272" s="5" t="s">
        <v>2</v>
      </c>
      <c r="B272" s="6"/>
      <c r="C272" s="6"/>
      <c r="D272" s="6"/>
      <c r="E272" s="6"/>
      <c r="F272" s="7"/>
      <c r="G272" s="4"/>
      <c r="H272" s="4"/>
      <c r="I272" s="1" t="s">
        <v>3</v>
      </c>
      <c r="J272" s="2"/>
      <c r="K272" s="2"/>
      <c r="L272" s="2"/>
      <c r="M272" s="8"/>
    </row>
    <row r="273" spans="1:13" ht="15.5" x14ac:dyDescent="0.35">
      <c r="A273" s="5" t="s">
        <v>4</v>
      </c>
      <c r="B273" s="6"/>
      <c r="C273" s="6"/>
      <c r="D273" s="6"/>
      <c r="E273" s="6"/>
      <c r="F273" s="7"/>
      <c r="G273" s="4"/>
      <c r="H273" s="4"/>
      <c r="I273" s="5" t="s">
        <v>61</v>
      </c>
      <c r="J273" s="6"/>
      <c r="K273" s="6"/>
      <c r="L273" s="9"/>
      <c r="M273" s="344"/>
    </row>
    <row r="274" spans="1:13" ht="16" thickBot="1" x14ac:dyDescent="0.4">
      <c r="A274" s="11" t="s">
        <v>6</v>
      </c>
      <c r="B274" s="12"/>
      <c r="C274" s="12"/>
      <c r="D274" s="12"/>
      <c r="E274" s="12"/>
      <c r="F274" s="13"/>
      <c r="G274" s="4"/>
      <c r="H274" s="4"/>
      <c r="I274" s="11" t="s">
        <v>7</v>
      </c>
      <c r="J274" s="12"/>
      <c r="K274" s="12"/>
      <c r="L274" s="345" t="s">
        <v>49</v>
      </c>
      <c r="M274" s="346"/>
    </row>
    <row r="275" spans="1:13" ht="26" thickBot="1" x14ac:dyDescent="0.65">
      <c r="A275" s="17" t="s">
        <v>39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8" customHeight="1" x14ac:dyDescent="0.35">
      <c r="A276" s="915" t="s">
        <v>10</v>
      </c>
      <c r="B276" s="918" t="s">
        <v>11</v>
      </c>
      <c r="C276" s="919"/>
      <c r="D276" s="919"/>
      <c r="E276" s="920"/>
      <c r="F276" s="132" t="s">
        <v>12</v>
      </c>
      <c r="G276" s="918" t="s">
        <v>13</v>
      </c>
      <c r="H276" s="919"/>
      <c r="I276" s="920"/>
      <c r="J276" s="129" t="s">
        <v>14</v>
      </c>
      <c r="K276" s="918" t="s">
        <v>15</v>
      </c>
      <c r="L276" s="920"/>
      <c r="M276" s="132" t="s">
        <v>16</v>
      </c>
    </row>
    <row r="277" spans="1:13" ht="18" customHeight="1" thickBot="1" x14ac:dyDescent="0.4">
      <c r="A277" s="916"/>
      <c r="B277" s="134" t="s">
        <v>17</v>
      </c>
      <c r="C277" s="135" t="s">
        <v>18</v>
      </c>
      <c r="D277" s="135" t="s">
        <v>19</v>
      </c>
      <c r="E277" s="136" t="s">
        <v>18</v>
      </c>
      <c r="F277" s="140" t="s">
        <v>20</v>
      </c>
      <c r="G277" s="924" t="s">
        <v>21</v>
      </c>
      <c r="H277" s="925"/>
      <c r="I277" s="926"/>
      <c r="J277" s="138" t="s">
        <v>22</v>
      </c>
      <c r="K277" s="924" t="s">
        <v>23</v>
      </c>
      <c r="L277" s="926"/>
      <c r="M277" s="140" t="s">
        <v>24</v>
      </c>
    </row>
    <row r="278" spans="1:13" ht="18" customHeight="1" thickBot="1" x14ac:dyDescent="0.4">
      <c r="A278" s="917"/>
      <c r="B278" s="437" t="s">
        <v>25</v>
      </c>
      <c r="C278" s="147" t="s">
        <v>25</v>
      </c>
      <c r="D278" s="147"/>
      <c r="E278" s="148" t="s">
        <v>26</v>
      </c>
      <c r="F278" s="150" t="s">
        <v>27</v>
      </c>
      <c r="G278" s="146" t="s">
        <v>28</v>
      </c>
      <c r="H278" s="147" t="s">
        <v>29</v>
      </c>
      <c r="I278" s="148" t="s">
        <v>30</v>
      </c>
      <c r="J278" s="270" t="s">
        <v>31</v>
      </c>
      <c r="K278" s="438" t="s">
        <v>32</v>
      </c>
      <c r="L278" s="144" t="s">
        <v>33</v>
      </c>
      <c r="M278" s="150" t="s">
        <v>34</v>
      </c>
    </row>
    <row r="279" spans="1:13" ht="18" customHeight="1" x14ac:dyDescent="0.35">
      <c r="A279" s="221">
        <v>1</v>
      </c>
      <c r="B279" s="596"/>
      <c r="C279" s="657"/>
      <c r="D279" s="640"/>
      <c r="E279" s="787"/>
      <c r="F279" s="398"/>
      <c r="G279" s="788"/>
      <c r="H279" s="789"/>
      <c r="I279" s="788"/>
      <c r="J279" s="790"/>
      <c r="K279" s="656"/>
      <c r="L279" s="658"/>
      <c r="M279" s="791"/>
    </row>
    <row r="280" spans="1:13" ht="18" customHeight="1" x14ac:dyDescent="0.35">
      <c r="A280" s="223">
        <v>2</v>
      </c>
      <c r="B280" s="597"/>
      <c r="C280" s="660"/>
      <c r="D280" s="640"/>
      <c r="E280" s="418"/>
      <c r="F280" s="400"/>
      <c r="G280" s="643"/>
      <c r="H280" s="792"/>
      <c r="I280" s="643"/>
      <c r="J280" s="793"/>
      <c r="K280" s="656"/>
      <c r="L280" s="612"/>
      <c r="M280" s="791"/>
    </row>
    <row r="281" spans="1:13" ht="18" customHeight="1" x14ac:dyDescent="0.35">
      <c r="A281" s="223">
        <v>3</v>
      </c>
      <c r="B281" s="597"/>
      <c r="C281" s="639"/>
      <c r="D281" s="640"/>
      <c r="E281" s="418"/>
      <c r="F281" s="400"/>
      <c r="G281" s="643"/>
      <c r="H281" s="792"/>
      <c r="I281" s="643"/>
      <c r="J281" s="793"/>
      <c r="K281" s="656"/>
      <c r="L281" s="612"/>
      <c r="M281" s="791"/>
    </row>
    <row r="282" spans="1:13" ht="18" customHeight="1" x14ac:dyDescent="0.35">
      <c r="A282" s="223">
        <v>4</v>
      </c>
      <c r="B282" s="597"/>
      <c r="C282" s="639"/>
      <c r="D282" s="640"/>
      <c r="E282" s="794"/>
      <c r="F282" s="400"/>
      <c r="G282" s="643"/>
      <c r="H282" s="792"/>
      <c r="I282" s="643"/>
      <c r="J282" s="793"/>
      <c r="K282" s="656"/>
      <c r="L282" s="612"/>
      <c r="M282" s="791"/>
    </row>
    <row r="283" spans="1:13" ht="18" customHeight="1" x14ac:dyDescent="0.35">
      <c r="A283" s="223">
        <v>5</v>
      </c>
      <c r="B283" s="597"/>
      <c r="C283" s="660"/>
      <c r="D283" s="640"/>
      <c r="E283" s="794"/>
      <c r="F283" s="400"/>
      <c r="G283" s="643"/>
      <c r="H283" s="792"/>
      <c r="I283" s="795"/>
      <c r="J283" s="793"/>
      <c r="K283" s="656"/>
      <c r="L283" s="612"/>
      <c r="M283" s="791"/>
    </row>
    <row r="284" spans="1:13" ht="18" customHeight="1" x14ac:dyDescent="0.35">
      <c r="A284" s="223">
        <v>6</v>
      </c>
      <c r="B284" s="597"/>
      <c r="C284" s="660"/>
      <c r="D284" s="640"/>
      <c r="E284" s="794"/>
      <c r="F284" s="400"/>
      <c r="G284" s="643"/>
      <c r="H284" s="792"/>
      <c r="I284" s="643"/>
      <c r="J284" s="793"/>
      <c r="K284" s="656"/>
      <c r="L284" s="612"/>
      <c r="M284" s="791"/>
    </row>
    <row r="285" spans="1:13" ht="18" customHeight="1" x14ac:dyDescent="0.35">
      <c r="A285" s="223">
        <v>7</v>
      </c>
      <c r="B285" s="597"/>
      <c r="C285" s="660"/>
      <c r="D285" s="640"/>
      <c r="E285" s="794"/>
      <c r="F285" s="400"/>
      <c r="G285" s="643"/>
      <c r="H285" s="792"/>
      <c r="I285" s="643"/>
      <c r="J285" s="793"/>
      <c r="K285" s="656"/>
      <c r="L285" s="612"/>
      <c r="M285" s="791"/>
    </row>
    <row r="286" spans="1:13" ht="18" customHeight="1" x14ac:dyDescent="0.35">
      <c r="A286" s="223">
        <v>8</v>
      </c>
      <c r="B286" s="597"/>
      <c r="C286" s="660"/>
      <c r="D286" s="640"/>
      <c r="E286" s="794"/>
      <c r="F286" s="400"/>
      <c r="G286" s="643"/>
      <c r="H286" s="792"/>
      <c r="I286" s="643"/>
      <c r="J286" s="793"/>
      <c r="K286" s="656"/>
      <c r="L286" s="612"/>
      <c r="M286" s="791"/>
    </row>
    <row r="287" spans="1:13" ht="18" customHeight="1" x14ac:dyDescent="0.35">
      <c r="A287" s="223">
        <v>9</v>
      </c>
      <c r="B287" s="597"/>
      <c r="C287" s="660"/>
      <c r="D287" s="640"/>
      <c r="E287" s="794"/>
      <c r="F287" s="400"/>
      <c r="G287" s="643"/>
      <c r="H287" s="792"/>
      <c r="I287" s="643"/>
      <c r="J287" s="793"/>
      <c r="K287" s="656"/>
      <c r="L287" s="612"/>
      <c r="M287" s="791"/>
    </row>
    <row r="288" spans="1:13" ht="18" customHeight="1" thickBot="1" x14ac:dyDescent="0.4">
      <c r="A288" s="311">
        <v>10</v>
      </c>
      <c r="B288" s="597"/>
      <c r="C288" s="639"/>
      <c r="D288" s="640"/>
      <c r="E288" s="418"/>
      <c r="F288" s="404"/>
      <c r="G288" s="643"/>
      <c r="H288" s="792"/>
      <c r="I288" s="643"/>
      <c r="J288" s="793"/>
      <c r="K288" s="656"/>
      <c r="L288" s="612"/>
      <c r="M288" s="796"/>
    </row>
    <row r="289" spans="1:13" ht="18" customHeight="1" thickBot="1" x14ac:dyDescent="0.4">
      <c r="A289" s="501" t="s">
        <v>35</v>
      </c>
      <c r="B289" s="407">
        <f>SUM(B279:B288)</f>
        <v>0</v>
      </c>
      <c r="C289" s="409">
        <f>SUM(C279:C288)</f>
        <v>0</v>
      </c>
      <c r="D289" s="797">
        <f>SUM(D279:D288)</f>
        <v>0</v>
      </c>
      <c r="E289" s="415">
        <f>SUM(E279:E288)</f>
        <v>0</v>
      </c>
      <c r="F289" s="410"/>
      <c r="G289" s="409">
        <f t="shared" ref="G289:L289" si="49">SUM(G279:G288)</f>
        <v>0</v>
      </c>
      <c r="H289" s="409">
        <f t="shared" si="49"/>
        <v>0</v>
      </c>
      <c r="I289" s="415">
        <f t="shared" si="49"/>
        <v>0</v>
      </c>
      <c r="J289" s="459">
        <f t="shared" si="49"/>
        <v>0</v>
      </c>
      <c r="K289" s="407">
        <f t="shared" si="49"/>
        <v>0</v>
      </c>
      <c r="L289" s="415">
        <f t="shared" si="49"/>
        <v>0</v>
      </c>
      <c r="M289" s="798">
        <f>SUM(M279:M288)</f>
        <v>0</v>
      </c>
    </row>
    <row r="290" spans="1:13" ht="18" customHeight="1" x14ac:dyDescent="0.35">
      <c r="A290" s="316">
        <v>11</v>
      </c>
      <c r="B290" s="597"/>
      <c r="C290" s="660"/>
      <c r="D290" s="640"/>
      <c r="E290" s="794"/>
      <c r="F290" s="400"/>
      <c r="G290" s="643"/>
      <c r="H290" s="799"/>
      <c r="I290" s="795"/>
      <c r="J290" s="793"/>
      <c r="K290" s="656"/>
      <c r="L290" s="612"/>
      <c r="M290" s="791"/>
    </row>
    <row r="291" spans="1:13" ht="18" customHeight="1" x14ac:dyDescent="0.35">
      <c r="A291" s="223">
        <v>12</v>
      </c>
      <c r="B291" s="597"/>
      <c r="C291" s="660"/>
      <c r="D291" s="640"/>
      <c r="E291" s="794"/>
      <c r="F291" s="400"/>
      <c r="G291" s="643"/>
      <c r="H291" s="792"/>
      <c r="I291" s="643"/>
      <c r="J291" s="793"/>
      <c r="K291" s="656"/>
      <c r="L291" s="658"/>
      <c r="M291" s="791"/>
    </row>
    <row r="292" spans="1:13" ht="18" customHeight="1" x14ac:dyDescent="0.35">
      <c r="A292" s="223">
        <v>13</v>
      </c>
      <c r="B292" s="597"/>
      <c r="C292" s="660"/>
      <c r="D292" s="640"/>
      <c r="E292" s="794"/>
      <c r="F292" s="400"/>
      <c r="G292" s="643"/>
      <c r="H292" s="789"/>
      <c r="I292" s="788"/>
      <c r="J292" s="793"/>
      <c r="K292" s="656"/>
      <c r="L292" s="658"/>
      <c r="M292" s="791"/>
    </row>
    <row r="293" spans="1:13" ht="18" customHeight="1" x14ac:dyDescent="0.35">
      <c r="A293" s="223">
        <v>14</v>
      </c>
      <c r="B293" s="597"/>
      <c r="C293" s="660"/>
      <c r="D293" s="640"/>
      <c r="E293" s="794"/>
      <c r="F293" s="400"/>
      <c r="G293" s="643"/>
      <c r="H293" s="792"/>
      <c r="I293" s="643"/>
      <c r="J293" s="793"/>
      <c r="K293" s="656"/>
      <c r="L293" s="658"/>
      <c r="M293" s="791"/>
    </row>
    <row r="294" spans="1:13" ht="18" customHeight="1" x14ac:dyDescent="0.35">
      <c r="A294" s="223">
        <v>15</v>
      </c>
      <c r="B294" s="597"/>
      <c r="C294" s="660"/>
      <c r="D294" s="640"/>
      <c r="E294" s="794"/>
      <c r="F294" s="400"/>
      <c r="G294" s="643"/>
      <c r="H294" s="792"/>
      <c r="I294" s="643"/>
      <c r="J294" s="793"/>
      <c r="K294" s="656"/>
      <c r="L294" s="658"/>
      <c r="M294" s="791"/>
    </row>
    <row r="295" spans="1:13" ht="18" customHeight="1" x14ac:dyDescent="0.35">
      <c r="A295" s="223">
        <v>16</v>
      </c>
      <c r="B295" s="597"/>
      <c r="C295" s="800"/>
      <c r="D295" s="640"/>
      <c r="E295" s="794"/>
      <c r="F295" s="400"/>
      <c r="G295" s="643"/>
      <c r="H295" s="801"/>
      <c r="I295" s="802"/>
      <c r="J295" s="793"/>
      <c r="K295" s="656"/>
      <c r="L295" s="658"/>
      <c r="M295" s="791"/>
    </row>
    <row r="296" spans="1:13" ht="18" customHeight="1" x14ac:dyDescent="0.35">
      <c r="A296" s="223">
        <v>17</v>
      </c>
      <c r="B296" s="803"/>
      <c r="C296" s="639"/>
      <c r="D296" s="640"/>
      <c r="E296" s="418"/>
      <c r="F296" s="400"/>
      <c r="G296" s="643"/>
      <c r="H296" s="792"/>
      <c r="I296" s="643"/>
      <c r="J296" s="793"/>
      <c r="K296" s="656"/>
      <c r="L296" s="658"/>
      <c r="M296" s="791"/>
    </row>
    <row r="297" spans="1:13" ht="18" customHeight="1" x14ac:dyDescent="0.35">
      <c r="A297" s="223">
        <v>18</v>
      </c>
      <c r="B297" s="597"/>
      <c r="C297" s="639"/>
      <c r="D297" s="640"/>
      <c r="E297" s="418"/>
      <c r="F297" s="400"/>
      <c r="G297" s="643"/>
      <c r="H297" s="792"/>
      <c r="I297" s="643"/>
      <c r="J297" s="793"/>
      <c r="K297" s="656"/>
      <c r="L297" s="658"/>
      <c r="M297" s="791"/>
    </row>
    <row r="298" spans="1:13" ht="18" customHeight="1" x14ac:dyDescent="0.35">
      <c r="A298" s="223">
        <v>19</v>
      </c>
      <c r="B298" s="597"/>
      <c r="C298" s="639"/>
      <c r="D298" s="640"/>
      <c r="E298" s="794"/>
      <c r="F298" s="400"/>
      <c r="G298" s="643"/>
      <c r="H298" s="792"/>
      <c r="I298" s="643"/>
      <c r="J298" s="793"/>
      <c r="K298" s="656"/>
      <c r="L298" s="658"/>
      <c r="M298" s="791"/>
    </row>
    <row r="299" spans="1:13" ht="18" customHeight="1" thickBot="1" x14ac:dyDescent="0.4">
      <c r="A299" s="311">
        <v>20</v>
      </c>
      <c r="B299" s="597"/>
      <c r="C299" s="639"/>
      <c r="D299" s="640"/>
      <c r="E299" s="794"/>
      <c r="F299" s="404"/>
      <c r="G299" s="643"/>
      <c r="H299" s="792"/>
      <c r="I299" s="643"/>
      <c r="J299" s="793"/>
      <c r="K299" s="656"/>
      <c r="L299" s="658"/>
      <c r="M299" s="796"/>
    </row>
    <row r="300" spans="1:13" ht="18" customHeight="1" thickBot="1" x14ac:dyDescent="0.4">
      <c r="A300" s="501" t="s">
        <v>35</v>
      </c>
      <c r="B300" s="407">
        <f>SUM(B290:B299)</f>
        <v>0</v>
      </c>
      <c r="C300" s="409">
        <f>SUM(C290:C299)</f>
        <v>0</v>
      </c>
      <c r="D300" s="409">
        <f>SUM(D290:D299)</f>
        <v>0</v>
      </c>
      <c r="E300" s="415">
        <f>SUM(E290:E299)</f>
        <v>0</v>
      </c>
      <c r="F300" s="410"/>
      <c r="G300" s="409">
        <f t="shared" ref="G300:M300" si="50">SUM(G290:G299)</f>
        <v>0</v>
      </c>
      <c r="H300" s="409">
        <f t="shared" si="50"/>
        <v>0</v>
      </c>
      <c r="I300" s="415">
        <f t="shared" si="50"/>
        <v>0</v>
      </c>
      <c r="J300" s="459">
        <f t="shared" si="50"/>
        <v>0</v>
      </c>
      <c r="K300" s="407">
        <f t="shared" si="50"/>
        <v>0</v>
      </c>
      <c r="L300" s="415">
        <f t="shared" si="50"/>
        <v>0</v>
      </c>
      <c r="M300" s="798">
        <f t="shared" si="50"/>
        <v>0</v>
      </c>
    </row>
    <row r="301" spans="1:13" ht="18" customHeight="1" x14ac:dyDescent="0.35">
      <c r="A301" s="316">
        <v>21</v>
      </c>
      <c r="B301" s="597"/>
      <c r="C301" s="639"/>
      <c r="D301" s="640"/>
      <c r="E301" s="794"/>
      <c r="F301" s="400"/>
      <c r="G301" s="643"/>
      <c r="H301" s="792"/>
      <c r="I301" s="643"/>
      <c r="J301" s="793"/>
      <c r="K301" s="656"/>
      <c r="L301" s="658"/>
      <c r="M301" s="791"/>
    </row>
    <row r="302" spans="1:13" ht="18" customHeight="1" x14ac:dyDescent="0.35">
      <c r="A302" s="223">
        <v>22</v>
      </c>
      <c r="B302" s="597"/>
      <c r="C302" s="639"/>
      <c r="D302" s="640"/>
      <c r="E302" s="418"/>
      <c r="F302" s="400"/>
      <c r="G302" s="643"/>
      <c r="H302" s="792"/>
      <c r="I302" s="643"/>
      <c r="J302" s="793"/>
      <c r="K302" s="656"/>
      <c r="L302" s="658"/>
      <c r="M302" s="791"/>
    </row>
    <row r="303" spans="1:13" ht="18" customHeight="1" x14ac:dyDescent="0.35">
      <c r="A303" s="223">
        <v>23</v>
      </c>
      <c r="B303" s="597"/>
      <c r="C303" s="639"/>
      <c r="D303" s="640"/>
      <c r="E303" s="794"/>
      <c r="F303" s="400"/>
      <c r="G303" s="643"/>
      <c r="H303" s="792"/>
      <c r="I303" s="643"/>
      <c r="J303" s="793"/>
      <c r="K303" s="656"/>
      <c r="L303" s="658"/>
      <c r="M303" s="791"/>
    </row>
    <row r="304" spans="1:13" ht="18" customHeight="1" x14ac:dyDescent="0.35">
      <c r="A304" s="223">
        <v>24</v>
      </c>
      <c r="B304" s="597"/>
      <c r="C304" s="639"/>
      <c r="D304" s="640"/>
      <c r="E304" s="794"/>
      <c r="F304" s="400"/>
      <c r="G304" s="643"/>
      <c r="H304" s="792"/>
      <c r="I304" s="643"/>
      <c r="J304" s="793"/>
      <c r="K304" s="656"/>
      <c r="L304" s="658"/>
      <c r="M304" s="791"/>
    </row>
    <row r="305" spans="1:13" ht="18" customHeight="1" x14ac:dyDescent="0.35">
      <c r="A305" s="223">
        <v>25</v>
      </c>
      <c r="B305" s="597"/>
      <c r="C305" s="639"/>
      <c r="D305" s="640"/>
      <c r="E305" s="418"/>
      <c r="F305" s="400"/>
      <c r="G305" s="643"/>
      <c r="H305" s="792"/>
      <c r="I305" s="643"/>
      <c r="J305" s="793"/>
      <c r="K305" s="656"/>
      <c r="L305" s="658"/>
      <c r="M305" s="791"/>
    </row>
    <row r="306" spans="1:13" ht="18" customHeight="1" x14ac:dyDescent="0.35">
      <c r="A306" s="223">
        <v>26</v>
      </c>
      <c r="B306" s="597"/>
      <c r="C306" s="639"/>
      <c r="D306" s="640"/>
      <c r="E306" s="418"/>
      <c r="F306" s="400"/>
      <c r="G306" s="643"/>
      <c r="H306" s="792"/>
      <c r="I306" s="643"/>
      <c r="J306" s="793"/>
      <c r="K306" s="656"/>
      <c r="L306" s="658"/>
      <c r="M306" s="791"/>
    </row>
    <row r="307" spans="1:13" ht="18" customHeight="1" x14ac:dyDescent="0.35">
      <c r="A307" s="223">
        <v>27</v>
      </c>
      <c r="B307" s="597"/>
      <c r="C307" s="639"/>
      <c r="D307" s="640"/>
      <c r="E307" s="418"/>
      <c r="F307" s="400"/>
      <c r="G307" s="643"/>
      <c r="H307" s="804"/>
      <c r="I307" s="805"/>
      <c r="J307" s="793"/>
      <c r="K307" s="656"/>
      <c r="L307" s="658"/>
      <c r="M307" s="791"/>
    </row>
    <row r="308" spans="1:13" ht="18" customHeight="1" x14ac:dyDescent="0.35">
      <c r="A308" s="223">
        <v>28</v>
      </c>
      <c r="B308" s="597"/>
      <c r="C308" s="639"/>
      <c r="D308" s="640"/>
      <c r="E308" s="418"/>
      <c r="F308" s="400"/>
      <c r="G308" s="643"/>
      <c r="H308" s="792"/>
      <c r="I308" s="643"/>
      <c r="J308" s="793"/>
      <c r="K308" s="656"/>
      <c r="L308" s="658"/>
      <c r="M308" s="791"/>
    </row>
    <row r="309" spans="1:13" ht="18" customHeight="1" x14ac:dyDescent="0.35">
      <c r="A309" s="223">
        <v>29</v>
      </c>
      <c r="B309" s="597"/>
      <c r="C309" s="639"/>
      <c r="D309" s="640"/>
      <c r="E309" s="418"/>
      <c r="F309" s="400"/>
      <c r="G309" s="643"/>
      <c r="H309" s="792"/>
      <c r="I309" s="643"/>
      <c r="J309" s="793"/>
      <c r="K309" s="656"/>
      <c r="L309" s="658"/>
      <c r="M309" s="791"/>
    </row>
    <row r="310" spans="1:13" ht="18" customHeight="1" x14ac:dyDescent="0.35">
      <c r="A310" s="223">
        <v>30</v>
      </c>
      <c r="B310" s="597"/>
      <c r="C310" s="639"/>
      <c r="D310" s="640"/>
      <c r="E310" s="418"/>
      <c r="F310" s="400"/>
      <c r="G310" s="643"/>
      <c r="H310" s="792"/>
      <c r="I310" s="643"/>
      <c r="J310" s="793"/>
      <c r="K310" s="656"/>
      <c r="L310" s="658"/>
      <c r="M310" s="791"/>
    </row>
    <row r="311" spans="1:13" ht="18" customHeight="1" thickBot="1" x14ac:dyDescent="0.4">
      <c r="A311" s="311">
        <v>31</v>
      </c>
      <c r="B311" s="806"/>
      <c r="C311" s="807"/>
      <c r="D311" s="640"/>
      <c r="E311" s="428"/>
      <c r="F311" s="404"/>
      <c r="G311" s="808"/>
      <c r="H311" s="809"/>
      <c r="I311" s="808"/>
      <c r="J311" s="810"/>
      <c r="K311" s="656"/>
      <c r="L311" s="658"/>
      <c r="M311" s="796"/>
    </row>
    <row r="312" spans="1:13" ht="18" customHeight="1" thickBot="1" x14ac:dyDescent="0.4">
      <c r="A312" s="236" t="s">
        <v>35</v>
      </c>
      <c r="B312" s="407">
        <f>SUM(B301:B311)</f>
        <v>0</v>
      </c>
      <c r="C312" s="409">
        <f>SUM(C301:C311)</f>
        <v>0</v>
      </c>
      <c r="D312" s="409">
        <f>SUM(D301:D311)</f>
        <v>0</v>
      </c>
      <c r="E312" s="415">
        <f>SUM(E301:E311)</f>
        <v>0</v>
      </c>
      <c r="F312" s="410"/>
      <c r="G312" s="409">
        <f t="shared" ref="G312:M312" si="51">SUM(G301:G311)</f>
        <v>0</v>
      </c>
      <c r="H312" s="409">
        <f t="shared" si="51"/>
        <v>0</v>
      </c>
      <c r="I312" s="415">
        <f t="shared" si="51"/>
        <v>0</v>
      </c>
      <c r="J312" s="811">
        <f t="shared" si="51"/>
        <v>0</v>
      </c>
      <c r="K312" s="407">
        <f t="shared" si="51"/>
        <v>0</v>
      </c>
      <c r="L312" s="415">
        <f t="shared" si="51"/>
        <v>0</v>
      </c>
      <c r="M312" s="415">
        <f t="shared" si="51"/>
        <v>0</v>
      </c>
    </row>
    <row r="313" spans="1:13" ht="18" customHeight="1" thickBot="1" x14ac:dyDescent="0.4">
      <c r="A313" s="471" t="s">
        <v>36</v>
      </c>
      <c r="B313" s="812">
        <f>B312+B300+B289</f>
        <v>0</v>
      </c>
      <c r="C313" s="812">
        <f t="shared" ref="C313:M313" si="52">C312+C300+C289</f>
        <v>0</v>
      </c>
      <c r="D313" s="812">
        <f t="shared" si="52"/>
        <v>0</v>
      </c>
      <c r="E313" s="813">
        <f t="shared" si="52"/>
        <v>0</v>
      </c>
      <c r="F313" s="812">
        <f t="shared" si="52"/>
        <v>0</v>
      </c>
      <c r="G313" s="812">
        <f t="shared" si="52"/>
        <v>0</v>
      </c>
      <c r="H313" s="812">
        <f t="shared" si="52"/>
        <v>0</v>
      </c>
      <c r="I313" s="812">
        <f t="shared" si="52"/>
        <v>0</v>
      </c>
      <c r="J313" s="814">
        <f t="shared" si="52"/>
        <v>0</v>
      </c>
      <c r="K313" s="815">
        <f t="shared" si="52"/>
        <v>0</v>
      </c>
      <c r="L313" s="816">
        <f t="shared" si="52"/>
        <v>0</v>
      </c>
      <c r="M313" s="812">
        <f t="shared" si="52"/>
        <v>0</v>
      </c>
    </row>
    <row r="314" spans="1:13" ht="18" customHeight="1" thickBot="1" x14ac:dyDescent="0.4">
      <c r="A314" s="477" t="s">
        <v>19</v>
      </c>
      <c r="B314" s="815">
        <f>B313/31</f>
        <v>0</v>
      </c>
      <c r="C314" s="815">
        <f t="shared" ref="C314:J314" si="53">C313/31</f>
        <v>0</v>
      </c>
      <c r="D314" s="815">
        <f t="shared" si="53"/>
        <v>0</v>
      </c>
      <c r="E314" s="816">
        <f t="shared" si="53"/>
        <v>0</v>
      </c>
      <c r="F314" s="815">
        <f t="shared" si="53"/>
        <v>0</v>
      </c>
      <c r="G314" s="816">
        <f t="shared" si="53"/>
        <v>0</v>
      </c>
      <c r="H314" s="815">
        <f t="shared" si="53"/>
        <v>0</v>
      </c>
      <c r="I314" s="815">
        <f t="shared" si="53"/>
        <v>0</v>
      </c>
      <c r="J314" s="817">
        <f t="shared" si="53"/>
        <v>0</v>
      </c>
      <c r="K314" s="576"/>
      <c r="L314" s="577"/>
      <c r="M314" s="576"/>
    </row>
    <row r="315" spans="1:13" ht="15" thickBot="1" x14ac:dyDescent="0.4">
      <c r="F315" s="4"/>
      <c r="G315" s="4"/>
      <c r="H315" s="4"/>
      <c r="I315" s="4"/>
      <c r="J315" s="4"/>
      <c r="K315" s="4"/>
      <c r="L315" s="4"/>
      <c r="M315" s="4"/>
    </row>
    <row r="316" spans="1:13" ht="16" thickBot="1" x14ac:dyDescent="0.4">
      <c r="A316" s="1" t="s">
        <v>0</v>
      </c>
      <c r="B316" s="2"/>
      <c r="C316" s="2"/>
      <c r="D316" s="2"/>
      <c r="E316" s="2"/>
      <c r="F316" s="3"/>
      <c r="G316" s="4"/>
      <c r="H316" s="4"/>
      <c r="I316" s="4"/>
      <c r="J316" s="4"/>
      <c r="K316" s="4"/>
      <c r="L316" s="4"/>
      <c r="M316" s="4"/>
    </row>
    <row r="317" spans="1:13" ht="15.5" x14ac:dyDescent="0.35">
      <c r="A317" s="5" t="s">
        <v>2</v>
      </c>
      <c r="B317" s="6"/>
      <c r="C317" s="6"/>
      <c r="D317" s="6"/>
      <c r="E317" s="6"/>
      <c r="F317" s="7"/>
      <c r="G317" s="4"/>
      <c r="H317" s="4"/>
      <c r="I317" s="1" t="s">
        <v>3</v>
      </c>
      <c r="J317" s="2"/>
      <c r="K317" s="2"/>
      <c r="L317" s="2"/>
      <c r="M317" s="8"/>
    </row>
    <row r="318" spans="1:13" ht="15.5" x14ac:dyDescent="0.35">
      <c r="A318" s="5" t="s">
        <v>4</v>
      </c>
      <c r="B318" s="6"/>
      <c r="C318" s="6"/>
      <c r="D318" s="6"/>
      <c r="E318" s="6"/>
      <c r="F318" s="7"/>
      <c r="G318" s="4"/>
      <c r="H318" s="4"/>
      <c r="I318" s="5" t="s">
        <v>61</v>
      </c>
      <c r="J318" s="6"/>
      <c r="K318" s="6"/>
      <c r="L318" s="9"/>
      <c r="M318" s="344"/>
    </row>
    <row r="319" spans="1:13" ht="16" thickBot="1" x14ac:dyDescent="0.4">
      <c r="A319" s="11" t="s">
        <v>6</v>
      </c>
      <c r="B319" s="12"/>
      <c r="C319" s="12"/>
      <c r="D319" s="12"/>
      <c r="E319" s="12"/>
      <c r="F319" s="13"/>
      <c r="G319" s="4"/>
      <c r="H319" s="4"/>
      <c r="I319" s="11" t="s">
        <v>7</v>
      </c>
      <c r="J319" s="12"/>
      <c r="K319" s="12"/>
      <c r="L319" s="345" t="s">
        <v>67</v>
      </c>
      <c r="M319" s="346"/>
    </row>
    <row r="320" spans="1:13" ht="26" thickBot="1" x14ac:dyDescent="0.65">
      <c r="A320" s="17" t="s">
        <v>39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8" customHeight="1" thickBot="1" x14ac:dyDescent="0.4">
      <c r="A321" s="915" t="s">
        <v>10</v>
      </c>
      <c r="B321" s="918" t="s">
        <v>11</v>
      </c>
      <c r="C321" s="919"/>
      <c r="D321" s="928"/>
      <c r="E321" s="920"/>
      <c r="F321" s="130" t="s">
        <v>12</v>
      </c>
      <c r="G321" s="930" t="s">
        <v>13</v>
      </c>
      <c r="H321" s="931"/>
      <c r="I321" s="932"/>
      <c r="J321" s="129" t="s">
        <v>14</v>
      </c>
      <c r="K321" s="918" t="s">
        <v>15</v>
      </c>
      <c r="L321" s="920"/>
      <c r="M321" s="131" t="s">
        <v>16</v>
      </c>
    </row>
    <row r="322" spans="1:13" ht="18" customHeight="1" thickBot="1" x14ac:dyDescent="0.4">
      <c r="A322" s="916"/>
      <c r="B322" s="134" t="s">
        <v>17</v>
      </c>
      <c r="C322" s="200" t="s">
        <v>18</v>
      </c>
      <c r="D322" s="484" t="s">
        <v>19</v>
      </c>
      <c r="E322" s="139" t="s">
        <v>18</v>
      </c>
      <c r="F322" s="137" t="s">
        <v>20</v>
      </c>
      <c r="G322" s="930" t="s">
        <v>21</v>
      </c>
      <c r="H322" s="931"/>
      <c r="I322" s="932"/>
      <c r="J322" s="137" t="s">
        <v>22</v>
      </c>
      <c r="K322" s="924" t="s">
        <v>23</v>
      </c>
      <c r="L322" s="926"/>
      <c r="M322" s="139" t="s">
        <v>24</v>
      </c>
    </row>
    <row r="323" spans="1:13" ht="18" customHeight="1" thickBot="1" x14ac:dyDescent="0.4">
      <c r="A323" s="917"/>
      <c r="B323" s="142" t="s">
        <v>25</v>
      </c>
      <c r="C323" s="143" t="s">
        <v>25</v>
      </c>
      <c r="D323" s="143"/>
      <c r="E323" s="144" t="s">
        <v>26</v>
      </c>
      <c r="F323" s="145" t="s">
        <v>27</v>
      </c>
      <c r="G323" s="357" t="s">
        <v>28</v>
      </c>
      <c r="H323" s="354" t="s">
        <v>29</v>
      </c>
      <c r="I323" s="355" t="s">
        <v>30</v>
      </c>
      <c r="J323" s="145" t="s">
        <v>31</v>
      </c>
      <c r="K323" s="271" t="s">
        <v>32</v>
      </c>
      <c r="L323" s="273" t="s">
        <v>33</v>
      </c>
      <c r="M323" s="553" t="s">
        <v>34</v>
      </c>
    </row>
    <row r="324" spans="1:13" ht="18" customHeight="1" x14ac:dyDescent="0.35">
      <c r="A324" s="221">
        <v>1</v>
      </c>
      <c r="B324" s="818"/>
      <c r="C324" s="819"/>
      <c r="D324" s="633"/>
      <c r="E324" s="820"/>
      <c r="F324" s="151"/>
      <c r="G324" s="221"/>
      <c r="H324" s="821"/>
      <c r="I324" s="636"/>
      <c r="J324" s="822"/>
      <c r="K324" s="596"/>
      <c r="L324" s="820"/>
      <c r="M324" s="791"/>
    </row>
    <row r="325" spans="1:13" ht="18" customHeight="1" x14ac:dyDescent="0.35">
      <c r="A325" s="223">
        <v>2</v>
      </c>
      <c r="B325" s="605"/>
      <c r="C325" s="595"/>
      <c r="D325" s="640"/>
      <c r="E325" s="658"/>
      <c r="F325" s="151"/>
      <c r="G325" s="223"/>
      <c r="H325" s="823"/>
      <c r="I325" s="642"/>
      <c r="J325" s="824"/>
      <c r="K325" s="656"/>
      <c r="L325" s="612"/>
      <c r="M325" s="791"/>
    </row>
    <row r="326" spans="1:13" ht="18" customHeight="1" x14ac:dyDescent="0.35">
      <c r="A326" s="223">
        <v>3</v>
      </c>
      <c r="B326" s="605"/>
      <c r="C326" s="595"/>
      <c r="D326" s="640"/>
      <c r="E326" s="658"/>
      <c r="F326" s="151"/>
      <c r="G326" s="223"/>
      <c r="H326" s="823"/>
      <c r="I326" s="642"/>
      <c r="J326" s="824"/>
      <c r="K326" s="656"/>
      <c r="L326" s="612"/>
      <c r="M326" s="791"/>
    </row>
    <row r="327" spans="1:13" ht="18" customHeight="1" x14ac:dyDescent="0.35">
      <c r="A327" s="223">
        <v>4</v>
      </c>
      <c r="B327" s="605"/>
      <c r="C327" s="595"/>
      <c r="D327" s="640"/>
      <c r="E327" s="658"/>
      <c r="F327" s="151"/>
      <c r="G327" s="223"/>
      <c r="H327" s="823"/>
      <c r="I327" s="642"/>
      <c r="J327" s="824"/>
      <c r="K327" s="656"/>
      <c r="L327" s="612"/>
      <c r="M327" s="791"/>
    </row>
    <row r="328" spans="1:13" ht="18" customHeight="1" x14ac:dyDescent="0.35">
      <c r="A328" s="223">
        <v>5</v>
      </c>
      <c r="B328" s="605"/>
      <c r="C328" s="595"/>
      <c r="D328" s="640"/>
      <c r="E328" s="658"/>
      <c r="F328" s="151"/>
      <c r="G328" s="223"/>
      <c r="H328" s="823"/>
      <c r="I328" s="642"/>
      <c r="J328" s="824"/>
      <c r="K328" s="656"/>
      <c r="L328" s="612"/>
      <c r="M328" s="791"/>
    </row>
    <row r="329" spans="1:13" ht="18" customHeight="1" x14ac:dyDescent="0.35">
      <c r="A329" s="223">
        <v>6</v>
      </c>
      <c r="B329" s="605"/>
      <c r="C329" s="595"/>
      <c r="D329" s="640"/>
      <c r="E329" s="658"/>
      <c r="F329" s="151"/>
      <c r="G329" s="223"/>
      <c r="H329" s="823"/>
      <c r="I329" s="643"/>
      <c r="J329" s="824"/>
      <c r="K329" s="656"/>
      <c r="L329" s="612"/>
      <c r="M329" s="791"/>
    </row>
    <row r="330" spans="1:13" ht="18" customHeight="1" x14ac:dyDescent="0.35">
      <c r="A330" s="223">
        <v>7</v>
      </c>
      <c r="B330" s="605"/>
      <c r="C330" s="595"/>
      <c r="D330" s="640"/>
      <c r="E330" s="658"/>
      <c r="F330" s="151"/>
      <c r="G330" s="223"/>
      <c r="H330" s="823"/>
      <c r="I330" s="643"/>
      <c r="J330" s="824"/>
      <c r="K330" s="656"/>
      <c r="L330" s="612"/>
      <c r="M330" s="791"/>
    </row>
    <row r="331" spans="1:13" ht="18" customHeight="1" x14ac:dyDescent="0.35">
      <c r="A331" s="223">
        <v>8</v>
      </c>
      <c r="B331" s="605"/>
      <c r="C331" s="595"/>
      <c r="D331" s="320"/>
      <c r="E331" s="658"/>
      <c r="F331" s="151"/>
      <c r="G331" s="223"/>
      <c r="H331" s="823"/>
      <c r="I331" s="643"/>
      <c r="J331" s="824"/>
      <c r="K331" s="656"/>
      <c r="L331" s="612"/>
      <c r="M331" s="791"/>
    </row>
    <row r="332" spans="1:13" ht="18" customHeight="1" x14ac:dyDescent="0.35">
      <c r="A332" s="223">
        <v>9</v>
      </c>
      <c r="B332" s="605"/>
      <c r="C332" s="595"/>
      <c r="D332" s="639"/>
      <c r="E332" s="401"/>
      <c r="F332" s="151"/>
      <c r="G332" s="223"/>
      <c r="H332" s="823"/>
      <c r="I332" s="643"/>
      <c r="J332" s="824"/>
      <c r="K332" s="656"/>
      <c r="L332" s="612"/>
      <c r="M332" s="791"/>
    </row>
    <row r="333" spans="1:13" ht="18" customHeight="1" thickBot="1" x14ac:dyDescent="0.4">
      <c r="A333" s="311">
        <v>10</v>
      </c>
      <c r="B333" s="825"/>
      <c r="C333" s="826"/>
      <c r="D333" s="320"/>
      <c r="E333" s="327"/>
      <c r="F333" s="125"/>
      <c r="G333" s="311"/>
      <c r="H333" s="610"/>
      <c r="I333" s="795"/>
      <c r="J333" s="827"/>
      <c r="K333" s="828"/>
      <c r="L333" s="321"/>
      <c r="M333" s="796"/>
    </row>
    <row r="334" spans="1:13" ht="18" customHeight="1" thickBot="1" x14ac:dyDescent="0.4">
      <c r="A334" s="501" t="s">
        <v>35</v>
      </c>
      <c r="B334" s="598">
        <f>SUM(B324:B333)</f>
        <v>0</v>
      </c>
      <c r="C334" s="559">
        <f>SUM(C324:C333)</f>
        <v>0</v>
      </c>
      <c r="D334" s="559">
        <f>SUM(D324:D333)</f>
        <v>0</v>
      </c>
      <c r="E334" s="415">
        <f>SUM(E324:E333)</f>
        <v>0</v>
      </c>
      <c r="F334" s="559"/>
      <c r="G334" s="582">
        <f>SUM(G324:G333)</f>
        <v>0</v>
      </c>
      <c r="H334" s="412">
        <f t="shared" ref="H334:M334" si="54">SUM(H324:H333)</f>
        <v>0</v>
      </c>
      <c r="I334" s="558">
        <f t="shared" si="54"/>
        <v>0</v>
      </c>
      <c r="J334" s="829">
        <f t="shared" si="54"/>
        <v>0</v>
      </c>
      <c r="K334" s="598">
        <f ca="1">SUM(K333:N337)</f>
        <v>0</v>
      </c>
      <c r="L334" s="415">
        <f t="shared" si="54"/>
        <v>0</v>
      </c>
      <c r="M334" s="415">
        <f t="shared" si="54"/>
        <v>0</v>
      </c>
    </row>
    <row r="335" spans="1:13" ht="18" customHeight="1" x14ac:dyDescent="0.35">
      <c r="A335" s="316">
        <v>11</v>
      </c>
      <c r="B335" s="605"/>
      <c r="C335" s="595"/>
      <c r="D335" s="640"/>
      <c r="E335" s="658"/>
      <c r="F335" s="151"/>
      <c r="G335" s="316"/>
      <c r="H335" s="830"/>
      <c r="I335" s="788"/>
      <c r="J335" s="831"/>
      <c r="K335" s="656"/>
      <c r="L335" s="658"/>
      <c r="M335" s="791"/>
    </row>
    <row r="336" spans="1:13" ht="18" customHeight="1" x14ac:dyDescent="0.35">
      <c r="A336" s="223">
        <v>12</v>
      </c>
      <c r="B336" s="605"/>
      <c r="C336" s="595"/>
      <c r="D336" s="640"/>
      <c r="E336" s="658"/>
      <c r="F336" s="151"/>
      <c r="G336" s="223"/>
      <c r="H336" s="823"/>
      <c r="I336" s="643"/>
      <c r="J336" s="824"/>
      <c r="K336" s="656"/>
      <c r="L336" s="658"/>
      <c r="M336" s="791"/>
    </row>
    <row r="337" spans="1:13" ht="18" customHeight="1" x14ac:dyDescent="0.35">
      <c r="A337" s="223">
        <v>13</v>
      </c>
      <c r="B337" s="605"/>
      <c r="C337" s="595"/>
      <c r="D337" s="640"/>
      <c r="E337" s="658"/>
      <c r="F337" s="151"/>
      <c r="G337" s="223"/>
      <c r="H337" s="823"/>
      <c r="I337" s="643"/>
      <c r="J337" s="824"/>
      <c r="K337" s="656"/>
      <c r="L337" s="658"/>
      <c r="M337" s="791"/>
    </row>
    <row r="338" spans="1:13" ht="18" customHeight="1" x14ac:dyDescent="0.35">
      <c r="A338" s="223">
        <v>14</v>
      </c>
      <c r="B338" s="605"/>
      <c r="C338" s="595"/>
      <c r="D338" s="640"/>
      <c r="E338" s="658"/>
      <c r="F338" s="151"/>
      <c r="G338" s="223"/>
      <c r="H338" s="823"/>
      <c r="I338" s="643"/>
      <c r="J338" s="824"/>
      <c r="K338" s="656"/>
      <c r="L338" s="658"/>
      <c r="M338" s="791"/>
    </row>
    <row r="339" spans="1:13" ht="18" customHeight="1" x14ac:dyDescent="0.35">
      <c r="A339" s="223">
        <v>15</v>
      </c>
      <c r="B339" s="605"/>
      <c r="C339" s="595"/>
      <c r="D339" s="640"/>
      <c r="E339" s="658"/>
      <c r="F339" s="151"/>
      <c r="G339" s="223"/>
      <c r="H339" s="823"/>
      <c r="I339" s="643"/>
      <c r="J339" s="824"/>
      <c r="K339" s="656"/>
      <c r="L339" s="658"/>
      <c r="M339" s="791"/>
    </row>
    <row r="340" spans="1:13" ht="18" customHeight="1" x14ac:dyDescent="0.35">
      <c r="A340" s="223">
        <v>16</v>
      </c>
      <c r="B340" s="605"/>
      <c r="C340" s="595"/>
      <c r="D340" s="640"/>
      <c r="E340" s="658"/>
      <c r="F340" s="151"/>
      <c r="G340" s="223"/>
      <c r="H340" s="823"/>
      <c r="I340" s="643"/>
      <c r="J340" s="824"/>
      <c r="K340" s="656"/>
      <c r="L340" s="658"/>
      <c r="M340" s="791"/>
    </row>
    <row r="341" spans="1:13" ht="18" customHeight="1" x14ac:dyDescent="0.35">
      <c r="A341" s="223">
        <v>17</v>
      </c>
      <c r="B341" s="605"/>
      <c r="C341" s="595"/>
      <c r="D341" s="640"/>
      <c r="E341" s="658"/>
      <c r="F341" s="151"/>
      <c r="G341" s="223"/>
      <c r="H341" s="823"/>
      <c r="I341" s="643"/>
      <c r="J341" s="824"/>
      <c r="K341" s="656"/>
      <c r="L341" s="658"/>
      <c r="M341" s="791"/>
    </row>
    <row r="342" spans="1:13" ht="18" customHeight="1" x14ac:dyDescent="0.35">
      <c r="A342" s="223">
        <v>18</v>
      </c>
      <c r="B342" s="605"/>
      <c r="C342" s="595"/>
      <c r="D342" s="640"/>
      <c r="E342" s="658"/>
      <c r="F342" s="151"/>
      <c r="G342" s="223"/>
      <c r="H342" s="823"/>
      <c r="I342" s="643"/>
      <c r="J342" s="824"/>
      <c r="K342" s="656"/>
      <c r="L342" s="658"/>
      <c r="M342" s="791"/>
    </row>
    <row r="343" spans="1:13" ht="18" customHeight="1" x14ac:dyDescent="0.35">
      <c r="A343" s="223">
        <v>19</v>
      </c>
      <c r="B343" s="605"/>
      <c r="C343" s="595"/>
      <c r="D343" s="640"/>
      <c r="E343" s="658"/>
      <c r="F343" s="151"/>
      <c r="G343" s="223"/>
      <c r="H343" s="823"/>
      <c r="I343" s="643"/>
      <c r="J343" s="824"/>
      <c r="K343" s="656"/>
      <c r="L343" s="658"/>
      <c r="M343" s="791"/>
    </row>
    <row r="344" spans="1:13" ht="18" customHeight="1" thickBot="1" x14ac:dyDescent="0.4">
      <c r="A344" s="311">
        <v>20</v>
      </c>
      <c r="B344" s="608"/>
      <c r="C344" s="832"/>
      <c r="D344" s="607"/>
      <c r="E344" s="833"/>
      <c r="F344" s="125"/>
      <c r="G344" s="311"/>
      <c r="H344" s="562"/>
      <c r="I344" s="808"/>
      <c r="J344" s="824"/>
      <c r="K344" s="834"/>
      <c r="L344" s="833"/>
      <c r="M344" s="796"/>
    </row>
    <row r="345" spans="1:13" ht="18" customHeight="1" thickBot="1" x14ac:dyDescent="0.4">
      <c r="A345" s="501" t="s">
        <v>35</v>
      </c>
      <c r="B345" s="367">
        <f>SUM(B335:B344)</f>
        <v>0</v>
      </c>
      <c r="C345" s="835">
        <f>SUM(C335:C344)</f>
        <v>0</v>
      </c>
      <c r="D345" s="835">
        <f>SUM(D335:D344)</f>
        <v>0</v>
      </c>
      <c r="E345" s="836">
        <f>SUM(E335:E344)</f>
        <v>0</v>
      </c>
      <c r="F345" s="837"/>
      <c r="G345" s="370">
        <f t="shared" ref="G345:M345" si="55">SUM(G335:G344)</f>
        <v>0</v>
      </c>
      <c r="H345" s="838">
        <f t="shared" si="55"/>
        <v>0</v>
      </c>
      <c r="I345" s="839">
        <f t="shared" si="55"/>
        <v>0</v>
      </c>
      <c r="J345" s="840">
        <f t="shared" si="55"/>
        <v>0</v>
      </c>
      <c r="K345" s="841">
        <f t="shared" si="55"/>
        <v>0</v>
      </c>
      <c r="L345" s="841">
        <f t="shared" si="55"/>
        <v>0</v>
      </c>
      <c r="M345" s="836">
        <f t="shared" si="55"/>
        <v>0</v>
      </c>
    </row>
    <row r="346" spans="1:13" ht="18" customHeight="1" x14ac:dyDescent="0.35">
      <c r="A346" s="316">
        <v>21</v>
      </c>
      <c r="B346" s="818"/>
      <c r="C346" s="819"/>
      <c r="D346" s="633"/>
      <c r="E346" s="820"/>
      <c r="F346" s="151"/>
      <c r="G346" s="316"/>
      <c r="H346" s="821"/>
      <c r="I346" s="842"/>
      <c r="J346" s="824"/>
      <c r="K346" s="596"/>
      <c r="L346" s="820"/>
      <c r="M346" s="791"/>
    </row>
    <row r="347" spans="1:13" ht="18" customHeight="1" x14ac:dyDescent="0.35">
      <c r="A347" s="223">
        <v>22</v>
      </c>
      <c r="B347" s="605"/>
      <c r="C347" s="595"/>
      <c r="D347" s="640"/>
      <c r="E347" s="658"/>
      <c r="F347" s="151"/>
      <c r="G347" s="223"/>
      <c r="H347" s="823"/>
      <c r="I347" s="643"/>
      <c r="J347" s="824"/>
      <c r="K347" s="656"/>
      <c r="L347" s="658"/>
      <c r="M347" s="791"/>
    </row>
    <row r="348" spans="1:13" ht="18" customHeight="1" x14ac:dyDescent="0.35">
      <c r="A348" s="223">
        <v>23</v>
      </c>
      <c r="B348" s="605"/>
      <c r="C348" s="595"/>
      <c r="D348" s="640"/>
      <c r="E348" s="658"/>
      <c r="F348" s="151"/>
      <c r="G348" s="223"/>
      <c r="H348" s="823"/>
      <c r="I348" s="643"/>
      <c r="J348" s="824"/>
      <c r="K348" s="656"/>
      <c r="L348" s="658"/>
      <c r="M348" s="791"/>
    </row>
    <row r="349" spans="1:13" ht="18" customHeight="1" x14ac:dyDescent="0.35">
      <c r="A349" s="223">
        <v>24</v>
      </c>
      <c r="B349" s="605"/>
      <c r="C349" s="595"/>
      <c r="D349" s="640"/>
      <c r="E349" s="658"/>
      <c r="F349" s="151"/>
      <c r="G349" s="223"/>
      <c r="H349" s="823"/>
      <c r="I349" s="643"/>
      <c r="J349" s="824"/>
      <c r="K349" s="656"/>
      <c r="L349" s="658"/>
      <c r="M349" s="791"/>
    </row>
    <row r="350" spans="1:13" ht="18" customHeight="1" x14ac:dyDescent="0.35">
      <c r="A350" s="223">
        <v>25</v>
      </c>
      <c r="B350" s="605"/>
      <c r="C350" s="595"/>
      <c r="D350" s="640"/>
      <c r="E350" s="658"/>
      <c r="F350" s="151"/>
      <c r="G350" s="223"/>
      <c r="H350" s="823"/>
      <c r="I350" s="643"/>
      <c r="J350" s="824"/>
      <c r="K350" s="656"/>
      <c r="L350" s="658"/>
      <c r="M350" s="791"/>
    </row>
    <row r="351" spans="1:13" ht="18" customHeight="1" x14ac:dyDescent="0.35">
      <c r="A351" s="223">
        <v>26</v>
      </c>
      <c r="B351" s="605"/>
      <c r="C351" s="595"/>
      <c r="D351" s="640"/>
      <c r="E351" s="658"/>
      <c r="F351" s="151"/>
      <c r="G351" s="223"/>
      <c r="H351" s="823"/>
      <c r="I351" s="643"/>
      <c r="J351" s="824"/>
      <c r="K351" s="656"/>
      <c r="L351" s="658"/>
      <c r="M351" s="791"/>
    </row>
    <row r="352" spans="1:13" ht="18" customHeight="1" x14ac:dyDescent="0.35">
      <c r="A352" s="223">
        <v>27</v>
      </c>
      <c r="B352" s="605"/>
      <c r="C352" s="595"/>
      <c r="D352" s="640"/>
      <c r="E352" s="658"/>
      <c r="F352" s="151"/>
      <c r="G352" s="223"/>
      <c r="H352" s="823"/>
      <c r="I352" s="643"/>
      <c r="J352" s="824"/>
      <c r="K352" s="656"/>
      <c r="L352" s="658"/>
      <c r="M352" s="791"/>
    </row>
    <row r="353" spans="1:13" ht="18" customHeight="1" x14ac:dyDescent="0.35">
      <c r="A353" s="223">
        <v>28</v>
      </c>
      <c r="B353" s="605"/>
      <c r="C353" s="595"/>
      <c r="D353" s="640"/>
      <c r="E353" s="658"/>
      <c r="F353" s="151"/>
      <c r="G353" s="223"/>
      <c r="H353" s="823"/>
      <c r="I353" s="643"/>
      <c r="J353" s="824"/>
      <c r="K353" s="656"/>
      <c r="L353" s="658"/>
      <c r="M353" s="791"/>
    </row>
    <row r="354" spans="1:13" ht="18" customHeight="1" x14ac:dyDescent="0.35">
      <c r="A354" s="223">
        <v>29</v>
      </c>
      <c r="B354" s="605"/>
      <c r="C354" s="595"/>
      <c r="D354" s="640"/>
      <c r="E354" s="658"/>
      <c r="F354" s="151"/>
      <c r="G354" s="223"/>
      <c r="H354" s="823"/>
      <c r="I354" s="643"/>
      <c r="J354" s="824"/>
      <c r="K354" s="656"/>
      <c r="L354" s="658"/>
      <c r="M354" s="791"/>
    </row>
    <row r="355" spans="1:13" ht="18" customHeight="1" x14ac:dyDescent="0.35">
      <c r="A355" s="223">
        <v>30</v>
      </c>
      <c r="B355" s="597"/>
      <c r="C355" s="595"/>
      <c r="D355" s="640"/>
      <c r="E355" s="658"/>
      <c r="F355" s="151"/>
      <c r="G355" s="223"/>
      <c r="H355" s="823"/>
      <c r="I355" s="643"/>
      <c r="J355" s="824"/>
      <c r="K355" s="656"/>
      <c r="L355" s="658"/>
      <c r="M355" s="791"/>
    </row>
    <row r="356" spans="1:13" ht="18" customHeight="1" thickBot="1" x14ac:dyDescent="0.4">
      <c r="A356" s="311">
        <v>31</v>
      </c>
      <c r="B356" s="419"/>
      <c r="C356" s="832"/>
      <c r="D356" s="607"/>
      <c r="E356" s="833"/>
      <c r="F356" s="125"/>
      <c r="G356" s="226"/>
      <c r="H356" s="562"/>
      <c r="I356" s="808"/>
      <c r="J356" s="611"/>
      <c r="K356" s="834"/>
      <c r="L356" s="833"/>
      <c r="M356" s="796"/>
    </row>
    <row r="357" spans="1:13" ht="18" customHeight="1" thickBot="1" x14ac:dyDescent="0.4">
      <c r="A357" s="501" t="s">
        <v>35</v>
      </c>
      <c r="B357" s="843">
        <f>SUM(B346:B356)</f>
        <v>0</v>
      </c>
      <c r="C357" s="844">
        <f>SUM(C346:C356)</f>
        <v>0</v>
      </c>
      <c r="D357" s="844">
        <f>SUM(D346:D356)</f>
        <v>0</v>
      </c>
      <c r="E357" s="845">
        <f>SUM(E346:E356)</f>
        <v>0</v>
      </c>
      <c r="F357" s="846"/>
      <c r="G357" s="847">
        <f t="shared" ref="G357:M357" si="56">SUM(G346:G356)</f>
        <v>0</v>
      </c>
      <c r="H357" s="848">
        <f t="shared" si="56"/>
        <v>0</v>
      </c>
      <c r="I357" s="849">
        <f t="shared" si="56"/>
        <v>0</v>
      </c>
      <c r="J357" s="846">
        <f t="shared" si="56"/>
        <v>0</v>
      </c>
      <c r="K357" s="525">
        <f t="shared" si="56"/>
        <v>0</v>
      </c>
      <c r="L357" s="527">
        <f t="shared" si="56"/>
        <v>0</v>
      </c>
      <c r="M357" s="850">
        <f t="shared" si="56"/>
        <v>0</v>
      </c>
    </row>
    <row r="358" spans="1:13" ht="18" customHeight="1" thickBot="1" x14ac:dyDescent="0.4">
      <c r="A358" s="534" t="s">
        <v>36</v>
      </c>
      <c r="B358" s="535">
        <f>B357+B345+B334</f>
        <v>0</v>
      </c>
      <c r="C358" s="536">
        <f t="shared" ref="C358:M358" si="57">C357+C345+C334</f>
        <v>0</v>
      </c>
      <c r="D358" s="536">
        <f t="shared" si="57"/>
        <v>0</v>
      </c>
      <c r="E358" s="537">
        <f t="shared" si="57"/>
        <v>0</v>
      </c>
      <c r="F358" s="851">
        <f t="shared" si="57"/>
        <v>0</v>
      </c>
      <c r="G358" s="535">
        <f t="shared" si="57"/>
        <v>0</v>
      </c>
      <c r="H358" s="536">
        <f t="shared" si="57"/>
        <v>0</v>
      </c>
      <c r="I358" s="537">
        <f t="shared" si="57"/>
        <v>0</v>
      </c>
      <c r="J358" s="851">
        <f t="shared" si="57"/>
        <v>0</v>
      </c>
      <c r="K358" s="535">
        <f t="shared" ca="1" si="57"/>
        <v>94</v>
      </c>
      <c r="L358" s="537">
        <f t="shared" si="57"/>
        <v>0</v>
      </c>
      <c r="M358" s="542">
        <f t="shared" si="57"/>
        <v>0</v>
      </c>
    </row>
    <row r="359" spans="1:13" ht="18" customHeight="1" thickBot="1" x14ac:dyDescent="0.4">
      <c r="A359" s="543" t="s">
        <v>19</v>
      </c>
      <c r="B359" s="539">
        <f>B358/31</f>
        <v>0</v>
      </c>
      <c r="C359" s="540">
        <f t="shared" ref="C359:J359" si="58">C358/31</f>
        <v>0</v>
      </c>
      <c r="D359" s="540">
        <f t="shared" si="58"/>
        <v>0</v>
      </c>
      <c r="E359" s="541">
        <f t="shared" si="58"/>
        <v>0</v>
      </c>
      <c r="F359" s="852">
        <f t="shared" si="58"/>
        <v>0</v>
      </c>
      <c r="G359" s="853">
        <f t="shared" si="58"/>
        <v>0</v>
      </c>
      <c r="H359" s="854">
        <f t="shared" si="58"/>
        <v>0</v>
      </c>
      <c r="I359" s="855">
        <f t="shared" si="58"/>
        <v>0</v>
      </c>
      <c r="J359" s="538">
        <f t="shared" si="58"/>
        <v>0</v>
      </c>
      <c r="K359" s="549"/>
      <c r="L359" s="550"/>
      <c r="M359" s="551"/>
    </row>
    <row r="360" spans="1:13" ht="15" thickBot="1" x14ac:dyDescent="0.4">
      <c r="F360" s="4"/>
      <c r="G360" s="4"/>
      <c r="H360" s="4"/>
      <c r="I360" s="4"/>
      <c r="J360" s="4"/>
      <c r="K360" s="4"/>
      <c r="L360" s="4"/>
      <c r="M360" s="4"/>
    </row>
    <row r="361" spans="1:13" ht="16" thickBot="1" x14ac:dyDescent="0.4">
      <c r="A361" s="1" t="s">
        <v>0</v>
      </c>
      <c r="B361" s="2"/>
      <c r="C361" s="2"/>
      <c r="D361" s="2"/>
      <c r="E361" s="2"/>
      <c r="F361" s="3"/>
      <c r="G361" s="4"/>
      <c r="H361" s="4"/>
      <c r="I361" s="4"/>
      <c r="J361" s="4"/>
      <c r="K361" s="4"/>
      <c r="L361" s="4"/>
      <c r="M361" s="4"/>
    </row>
    <row r="362" spans="1:13" ht="15.5" x14ac:dyDescent="0.35">
      <c r="A362" s="5" t="s">
        <v>2</v>
      </c>
      <c r="B362" s="6"/>
      <c r="C362" s="6"/>
      <c r="D362" s="6"/>
      <c r="E362" s="6"/>
      <c r="F362" s="7"/>
      <c r="G362" s="4"/>
      <c r="H362" s="4"/>
      <c r="I362" s="1" t="s">
        <v>3</v>
      </c>
      <c r="J362" s="2"/>
      <c r="K362" s="2"/>
      <c r="L362" s="2"/>
      <c r="M362" s="8"/>
    </row>
    <row r="363" spans="1:13" ht="15.5" x14ac:dyDescent="0.35">
      <c r="A363" s="5" t="s">
        <v>4</v>
      </c>
      <c r="B363" s="6"/>
      <c r="C363" s="6"/>
      <c r="D363" s="6"/>
      <c r="E363" s="6"/>
      <c r="F363" s="7"/>
      <c r="G363" s="4"/>
      <c r="H363" s="4"/>
      <c r="I363" s="5" t="s">
        <v>61</v>
      </c>
      <c r="J363" s="6"/>
      <c r="K363" s="6"/>
      <c r="L363" s="6"/>
      <c r="M363" s="10"/>
    </row>
    <row r="364" spans="1:13" ht="16" thickBot="1" x14ac:dyDescent="0.4">
      <c r="A364" s="11" t="s">
        <v>6</v>
      </c>
      <c r="B364" s="12"/>
      <c r="C364" s="12"/>
      <c r="D364" s="12"/>
      <c r="E364" s="12"/>
      <c r="F364" s="13"/>
      <c r="G364" s="4"/>
      <c r="H364" s="4"/>
      <c r="I364" s="11" t="s">
        <v>7</v>
      </c>
      <c r="J364" s="12"/>
      <c r="K364" s="12"/>
      <c r="L364" s="345" t="s">
        <v>53</v>
      </c>
      <c r="M364" s="346"/>
    </row>
    <row r="365" spans="1:13" ht="26" thickBot="1" x14ac:dyDescent="0.65">
      <c r="A365" s="17" t="s">
        <v>39</v>
      </c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8" customHeight="1" x14ac:dyDescent="0.35">
      <c r="A366" s="915" t="s">
        <v>10</v>
      </c>
      <c r="B366" s="918" t="s">
        <v>11</v>
      </c>
      <c r="C366" s="919"/>
      <c r="D366" s="919"/>
      <c r="E366" s="920"/>
      <c r="F366" s="132" t="s">
        <v>12</v>
      </c>
      <c r="G366" s="918" t="s">
        <v>13</v>
      </c>
      <c r="H366" s="919"/>
      <c r="I366" s="920"/>
      <c r="J366" s="132" t="s">
        <v>14</v>
      </c>
      <c r="K366" s="918" t="s">
        <v>15</v>
      </c>
      <c r="L366" s="920"/>
      <c r="M366" s="132" t="s">
        <v>16</v>
      </c>
    </row>
    <row r="367" spans="1:13" ht="18" customHeight="1" thickBot="1" x14ac:dyDescent="0.4">
      <c r="A367" s="916"/>
      <c r="B367" s="134" t="s">
        <v>17</v>
      </c>
      <c r="C367" s="135" t="s">
        <v>18</v>
      </c>
      <c r="D367" s="135" t="s">
        <v>19</v>
      </c>
      <c r="E367" s="200" t="s">
        <v>18</v>
      </c>
      <c r="F367" s="140" t="s">
        <v>20</v>
      </c>
      <c r="G367" s="924" t="s">
        <v>21</v>
      </c>
      <c r="H367" s="925"/>
      <c r="I367" s="926"/>
      <c r="J367" s="140" t="s">
        <v>22</v>
      </c>
      <c r="K367" s="924" t="s">
        <v>23</v>
      </c>
      <c r="L367" s="926"/>
      <c r="M367" s="140" t="s">
        <v>24</v>
      </c>
    </row>
    <row r="368" spans="1:13" ht="18" customHeight="1" thickBot="1" x14ac:dyDescent="0.4">
      <c r="A368" s="917"/>
      <c r="B368" s="142" t="s">
        <v>25</v>
      </c>
      <c r="C368" s="143" t="s">
        <v>25</v>
      </c>
      <c r="D368" s="552" t="s">
        <v>54</v>
      </c>
      <c r="E368" s="201" t="s">
        <v>26</v>
      </c>
      <c r="F368" s="270" t="s">
        <v>27</v>
      </c>
      <c r="G368" s="146" t="s">
        <v>28</v>
      </c>
      <c r="H368" s="147" t="s">
        <v>29</v>
      </c>
      <c r="I368" s="148" t="s">
        <v>30</v>
      </c>
      <c r="J368" s="553" t="s">
        <v>31</v>
      </c>
      <c r="K368" s="202" t="s">
        <v>32</v>
      </c>
      <c r="L368" s="201" t="s">
        <v>33</v>
      </c>
      <c r="M368" s="150" t="s">
        <v>34</v>
      </c>
    </row>
    <row r="369" spans="1:13" ht="18" customHeight="1" x14ac:dyDescent="0.35">
      <c r="A369" s="204">
        <v>1</v>
      </c>
      <c r="B369" s="856"/>
      <c r="C369" s="657"/>
      <c r="D369" s="640"/>
      <c r="E369" s="658"/>
      <c r="F369" s="398"/>
      <c r="G369" s="857"/>
      <c r="H369" s="858"/>
      <c r="I369" s="659"/>
      <c r="J369" s="859"/>
      <c r="K369" s="398"/>
      <c r="L369" s="398"/>
      <c r="M369" s="400"/>
    </row>
    <row r="370" spans="1:13" ht="18" customHeight="1" x14ac:dyDescent="0.35">
      <c r="A370" s="209">
        <v>2</v>
      </c>
      <c r="B370" s="860"/>
      <c r="C370" s="660"/>
      <c r="D370" s="640"/>
      <c r="E370" s="612"/>
      <c r="F370" s="400"/>
      <c r="G370" s="861"/>
      <c r="H370" s="862"/>
      <c r="I370" s="642"/>
      <c r="J370" s="863"/>
      <c r="K370" s="400"/>
      <c r="L370" s="417"/>
      <c r="M370" s="400"/>
    </row>
    <row r="371" spans="1:13" ht="18" customHeight="1" x14ac:dyDescent="0.35">
      <c r="A371" s="209">
        <v>3</v>
      </c>
      <c r="B371" s="860"/>
      <c r="C371" s="639"/>
      <c r="D371" s="640"/>
      <c r="E371" s="612"/>
      <c r="F371" s="400"/>
      <c r="G371" s="861"/>
      <c r="H371" s="862"/>
      <c r="I371" s="642"/>
      <c r="J371" s="863"/>
      <c r="K371" s="400"/>
      <c r="L371" s="417"/>
      <c r="M371" s="400"/>
    </row>
    <row r="372" spans="1:13" ht="18" customHeight="1" x14ac:dyDescent="0.35">
      <c r="A372" s="209">
        <v>4</v>
      </c>
      <c r="B372" s="860"/>
      <c r="C372" s="639"/>
      <c r="D372" s="640"/>
      <c r="E372" s="645"/>
      <c r="F372" s="400"/>
      <c r="G372" s="861"/>
      <c r="H372" s="862"/>
      <c r="I372" s="642"/>
      <c r="J372" s="863"/>
      <c r="K372" s="400"/>
      <c r="L372" s="417"/>
      <c r="M372" s="400"/>
    </row>
    <row r="373" spans="1:13" ht="18" customHeight="1" x14ac:dyDescent="0.35">
      <c r="A373" s="209">
        <v>5</v>
      </c>
      <c r="B373" s="860"/>
      <c r="C373" s="660"/>
      <c r="D373" s="640"/>
      <c r="E373" s="645"/>
      <c r="F373" s="400"/>
      <c r="G373" s="861"/>
      <c r="H373" s="862"/>
      <c r="I373" s="642"/>
      <c r="J373" s="863"/>
      <c r="K373" s="400"/>
      <c r="L373" s="417"/>
      <c r="M373" s="400"/>
    </row>
    <row r="374" spans="1:13" ht="18" customHeight="1" x14ac:dyDescent="0.35">
      <c r="A374" s="209">
        <v>6</v>
      </c>
      <c r="B374" s="860"/>
      <c r="C374" s="660"/>
      <c r="D374" s="640"/>
      <c r="E374" s="645"/>
      <c r="F374" s="400"/>
      <c r="G374" s="861"/>
      <c r="H374" s="862"/>
      <c r="I374" s="642"/>
      <c r="J374" s="863"/>
      <c r="K374" s="400"/>
      <c r="L374" s="417"/>
      <c r="M374" s="400"/>
    </row>
    <row r="375" spans="1:13" ht="18" customHeight="1" x14ac:dyDescent="0.35">
      <c r="A375" s="209">
        <v>7</v>
      </c>
      <c r="B375" s="860"/>
      <c r="C375" s="660"/>
      <c r="D375" s="640"/>
      <c r="E375" s="645"/>
      <c r="F375" s="400"/>
      <c r="G375" s="861"/>
      <c r="H375" s="862"/>
      <c r="I375" s="642"/>
      <c r="J375" s="863"/>
      <c r="K375" s="400"/>
      <c r="L375" s="417"/>
      <c r="M375" s="400"/>
    </row>
    <row r="376" spans="1:13" ht="18" customHeight="1" x14ac:dyDescent="0.35">
      <c r="A376" s="209">
        <v>8</v>
      </c>
      <c r="B376" s="860"/>
      <c r="C376" s="660"/>
      <c r="D376" s="640"/>
      <c r="E376" s="645"/>
      <c r="F376" s="400"/>
      <c r="G376" s="861"/>
      <c r="H376" s="862"/>
      <c r="I376" s="642"/>
      <c r="J376" s="863"/>
      <c r="K376" s="400"/>
      <c r="L376" s="417"/>
      <c r="M376" s="400"/>
    </row>
    <row r="377" spans="1:13" ht="18" customHeight="1" x14ac:dyDescent="0.35">
      <c r="A377" s="209">
        <v>9</v>
      </c>
      <c r="B377" s="860"/>
      <c r="C377" s="660"/>
      <c r="D377" s="640"/>
      <c r="E377" s="645"/>
      <c r="F377" s="400"/>
      <c r="G377" s="861"/>
      <c r="H377" s="862"/>
      <c r="I377" s="642"/>
      <c r="J377" s="863"/>
      <c r="K377" s="400"/>
      <c r="L377" s="417"/>
      <c r="M377" s="400"/>
    </row>
    <row r="378" spans="1:13" ht="18" customHeight="1" thickBot="1" x14ac:dyDescent="0.4">
      <c r="A378" s="214">
        <v>10</v>
      </c>
      <c r="B378" s="860"/>
      <c r="C378" s="639"/>
      <c r="D378" s="640"/>
      <c r="E378" s="612"/>
      <c r="F378" s="400"/>
      <c r="G378" s="861"/>
      <c r="H378" s="862"/>
      <c r="I378" s="642"/>
      <c r="J378" s="863"/>
      <c r="K378" s="400"/>
      <c r="L378" s="417"/>
      <c r="M378" s="404"/>
    </row>
    <row r="379" spans="1:13" ht="18" customHeight="1" thickBot="1" x14ac:dyDescent="0.4">
      <c r="A379" s="298" t="s">
        <v>35</v>
      </c>
      <c r="B379" s="407">
        <f t="shared" ref="B379:M379" si="59">SUM(B369:B378)</f>
        <v>0</v>
      </c>
      <c r="C379" s="407">
        <f t="shared" si="59"/>
        <v>0</v>
      </c>
      <c r="D379" s="407">
        <f t="shared" si="59"/>
        <v>0</v>
      </c>
      <c r="E379" s="407">
        <f t="shared" si="59"/>
        <v>0</v>
      </c>
      <c r="F379" s="410">
        <f t="shared" si="59"/>
        <v>0</v>
      </c>
      <c r="G379" s="413">
        <f t="shared" si="59"/>
        <v>0</v>
      </c>
      <c r="H379" s="412">
        <f t="shared" si="59"/>
        <v>0</v>
      </c>
      <c r="I379" s="556">
        <f t="shared" si="59"/>
        <v>0</v>
      </c>
      <c r="J379" s="415">
        <f t="shared" si="59"/>
        <v>0</v>
      </c>
      <c r="K379" s="407">
        <f t="shared" si="59"/>
        <v>0</v>
      </c>
      <c r="L379" s="409">
        <f t="shared" si="59"/>
        <v>0</v>
      </c>
      <c r="M379" s="410">
        <f t="shared" si="59"/>
        <v>0</v>
      </c>
    </row>
    <row r="380" spans="1:13" ht="18" customHeight="1" x14ac:dyDescent="0.35">
      <c r="A380" s="204">
        <v>11</v>
      </c>
      <c r="B380" s="860"/>
      <c r="C380" s="639"/>
      <c r="D380" s="640"/>
      <c r="E380" s="612"/>
      <c r="F380" s="400"/>
      <c r="G380" s="861"/>
      <c r="H380" s="862"/>
      <c r="I380" s="642"/>
      <c r="J380" s="863"/>
      <c r="K380" s="400"/>
      <c r="L380" s="417"/>
      <c r="M380" s="401"/>
    </row>
    <row r="381" spans="1:13" ht="18" customHeight="1" x14ac:dyDescent="0.35">
      <c r="A381" s="209">
        <v>12</v>
      </c>
      <c r="B381" s="860"/>
      <c r="C381" s="660"/>
      <c r="D381" s="640"/>
      <c r="E381" s="645"/>
      <c r="F381" s="400"/>
      <c r="G381" s="861"/>
      <c r="H381" s="862"/>
      <c r="I381" s="642"/>
      <c r="J381" s="863"/>
      <c r="K381" s="400"/>
      <c r="L381" s="400"/>
      <c r="M381" s="418"/>
    </row>
    <row r="382" spans="1:13" ht="18" customHeight="1" x14ac:dyDescent="0.35">
      <c r="A382" s="209">
        <v>13</v>
      </c>
      <c r="B382" s="860"/>
      <c r="C382" s="660"/>
      <c r="D382" s="640"/>
      <c r="E382" s="645"/>
      <c r="F382" s="400"/>
      <c r="G382" s="861"/>
      <c r="H382" s="862"/>
      <c r="I382" s="642"/>
      <c r="J382" s="863"/>
      <c r="K382" s="400"/>
      <c r="L382" s="400"/>
      <c r="M382" s="418"/>
    </row>
    <row r="383" spans="1:13" ht="18" customHeight="1" x14ac:dyDescent="0.35">
      <c r="A383" s="209">
        <v>14</v>
      </c>
      <c r="B383" s="860"/>
      <c r="C383" s="660"/>
      <c r="D383" s="640"/>
      <c r="E383" s="645"/>
      <c r="F383" s="400"/>
      <c r="G383" s="861"/>
      <c r="H383" s="862"/>
      <c r="I383" s="642"/>
      <c r="J383" s="863"/>
      <c r="K383" s="400"/>
      <c r="L383" s="400"/>
      <c r="M383" s="418"/>
    </row>
    <row r="384" spans="1:13" ht="18" customHeight="1" x14ac:dyDescent="0.35">
      <c r="A384" s="209">
        <v>15</v>
      </c>
      <c r="B384" s="860"/>
      <c r="C384" s="660"/>
      <c r="D384" s="640"/>
      <c r="E384" s="645"/>
      <c r="F384" s="400"/>
      <c r="G384" s="861"/>
      <c r="H384" s="862"/>
      <c r="I384" s="642"/>
      <c r="J384" s="863"/>
      <c r="K384" s="400"/>
      <c r="L384" s="400"/>
      <c r="M384" s="418"/>
    </row>
    <row r="385" spans="1:13" ht="18" customHeight="1" x14ac:dyDescent="0.35">
      <c r="A385" s="209">
        <v>16</v>
      </c>
      <c r="B385" s="860"/>
      <c r="C385" s="660"/>
      <c r="D385" s="640"/>
      <c r="E385" s="645"/>
      <c r="F385" s="400"/>
      <c r="G385" s="861"/>
      <c r="H385" s="792"/>
      <c r="I385" s="642"/>
      <c r="J385" s="863"/>
      <c r="K385" s="400"/>
      <c r="L385" s="400"/>
      <c r="M385" s="418"/>
    </row>
    <row r="386" spans="1:13" ht="18" customHeight="1" x14ac:dyDescent="0.35">
      <c r="A386" s="209">
        <v>17</v>
      </c>
      <c r="B386" s="860"/>
      <c r="C386" s="639"/>
      <c r="D386" s="640"/>
      <c r="E386" s="645"/>
      <c r="F386" s="400"/>
      <c r="G386" s="861"/>
      <c r="H386" s="862"/>
      <c r="I386" s="642"/>
      <c r="J386" s="863"/>
      <c r="K386" s="400"/>
      <c r="L386" s="400"/>
      <c r="M386" s="418"/>
    </row>
    <row r="387" spans="1:13" ht="18" customHeight="1" x14ac:dyDescent="0.35">
      <c r="A387" s="209">
        <v>18</v>
      </c>
      <c r="B387" s="860"/>
      <c r="C387" s="639"/>
      <c r="D387" s="640"/>
      <c r="E387" s="612"/>
      <c r="F387" s="400"/>
      <c r="G387" s="861"/>
      <c r="H387" s="792"/>
      <c r="I387" s="642"/>
      <c r="J387" s="863"/>
      <c r="K387" s="400"/>
      <c r="L387" s="400"/>
      <c r="M387" s="418"/>
    </row>
    <row r="388" spans="1:13" ht="18" customHeight="1" x14ac:dyDescent="0.35">
      <c r="A388" s="209">
        <v>19</v>
      </c>
      <c r="B388" s="860"/>
      <c r="C388" s="639"/>
      <c r="D388" s="640"/>
      <c r="E388" s="645"/>
      <c r="F388" s="400"/>
      <c r="G388" s="861"/>
      <c r="H388" s="792"/>
      <c r="I388" s="642"/>
      <c r="J388" s="863"/>
      <c r="K388" s="400"/>
      <c r="L388" s="400"/>
      <c r="M388" s="418"/>
    </row>
    <row r="389" spans="1:13" ht="18" customHeight="1" thickBot="1" x14ac:dyDescent="0.4">
      <c r="A389" s="214">
        <v>20</v>
      </c>
      <c r="B389" s="860"/>
      <c r="C389" s="639"/>
      <c r="D389" s="640"/>
      <c r="E389" s="645"/>
      <c r="F389" s="400"/>
      <c r="G389" s="861"/>
      <c r="H389" s="799"/>
      <c r="I389" s="325"/>
      <c r="J389" s="863"/>
      <c r="K389" s="400"/>
      <c r="L389" s="400"/>
      <c r="M389" s="328"/>
    </row>
    <row r="390" spans="1:13" ht="18" customHeight="1" thickBot="1" x14ac:dyDescent="0.4">
      <c r="A390" s="298" t="s">
        <v>35</v>
      </c>
      <c r="B390" s="409">
        <f t="shared" ref="B390:M390" si="60">SUM(B380:B389)</f>
        <v>0</v>
      </c>
      <c r="C390" s="407">
        <f t="shared" si="60"/>
        <v>0</v>
      </c>
      <c r="D390" s="407">
        <f t="shared" si="60"/>
        <v>0</v>
      </c>
      <c r="E390" s="407">
        <f t="shared" si="60"/>
        <v>0</v>
      </c>
      <c r="F390" s="410">
        <f t="shared" si="60"/>
        <v>0</v>
      </c>
      <c r="G390" s="413">
        <f t="shared" si="60"/>
        <v>0</v>
      </c>
      <c r="H390" s="557">
        <v>60</v>
      </c>
      <c r="I390" s="558">
        <v>84</v>
      </c>
      <c r="J390" s="559">
        <f t="shared" si="60"/>
        <v>0</v>
      </c>
      <c r="K390" s="408">
        <f t="shared" si="60"/>
        <v>0</v>
      </c>
      <c r="L390" s="415">
        <f t="shared" si="60"/>
        <v>0</v>
      </c>
      <c r="M390" s="415">
        <f t="shared" si="60"/>
        <v>0</v>
      </c>
    </row>
    <row r="391" spans="1:13" ht="18" customHeight="1" x14ac:dyDescent="0.35">
      <c r="A391" s="306">
        <v>21</v>
      </c>
      <c r="B391" s="860"/>
      <c r="C391" s="639"/>
      <c r="D391" s="640"/>
      <c r="E391" s="645"/>
      <c r="F391" s="400"/>
      <c r="G391" s="861"/>
      <c r="H391" s="789"/>
      <c r="I391" s="659"/>
      <c r="J391" s="863"/>
      <c r="K391" s="400"/>
      <c r="L391" s="400"/>
      <c r="M391" s="401"/>
    </row>
    <row r="392" spans="1:13" ht="18" customHeight="1" x14ac:dyDescent="0.35">
      <c r="A392" s="209">
        <v>22</v>
      </c>
      <c r="B392" s="860"/>
      <c r="C392" s="639"/>
      <c r="D392" s="640"/>
      <c r="E392" s="612"/>
      <c r="F392" s="400"/>
      <c r="G392" s="861"/>
      <c r="H392" s="792"/>
      <c r="I392" s="642"/>
      <c r="J392" s="863"/>
      <c r="K392" s="400"/>
      <c r="L392" s="400"/>
      <c r="M392" s="401"/>
    </row>
    <row r="393" spans="1:13" ht="18" customHeight="1" x14ac:dyDescent="0.35">
      <c r="A393" s="209">
        <v>23</v>
      </c>
      <c r="B393" s="860"/>
      <c r="C393" s="639"/>
      <c r="D393" s="640"/>
      <c r="E393" s="645"/>
      <c r="F393" s="400"/>
      <c r="G393" s="861"/>
      <c r="H393" s="792"/>
      <c r="I393" s="642"/>
      <c r="J393" s="863"/>
      <c r="K393" s="400"/>
      <c r="L393" s="400"/>
      <c r="M393" s="401"/>
    </row>
    <row r="394" spans="1:13" ht="18" customHeight="1" x14ac:dyDescent="0.35">
      <c r="A394" s="209">
        <v>24</v>
      </c>
      <c r="B394" s="860"/>
      <c r="C394" s="639"/>
      <c r="D394" s="640"/>
      <c r="E394" s="645"/>
      <c r="F394" s="400"/>
      <c r="G394" s="861"/>
      <c r="H394" s="792"/>
      <c r="I394" s="642"/>
      <c r="J394" s="863"/>
      <c r="K394" s="400"/>
      <c r="L394" s="400"/>
      <c r="M394" s="401"/>
    </row>
    <row r="395" spans="1:13" ht="18" customHeight="1" x14ac:dyDescent="0.35">
      <c r="A395" s="209">
        <v>25</v>
      </c>
      <c r="B395" s="860"/>
      <c r="C395" s="639"/>
      <c r="D395" s="640"/>
      <c r="E395" s="612"/>
      <c r="F395" s="400"/>
      <c r="G395" s="861"/>
      <c r="H395" s="792"/>
      <c r="I395" s="642"/>
      <c r="J395" s="863"/>
      <c r="K395" s="400"/>
      <c r="L395" s="400"/>
      <c r="M395" s="401"/>
    </row>
    <row r="396" spans="1:13" ht="18" customHeight="1" x14ac:dyDescent="0.35">
      <c r="A396" s="209">
        <v>26</v>
      </c>
      <c r="B396" s="860"/>
      <c r="C396" s="639"/>
      <c r="D396" s="640"/>
      <c r="E396" s="612"/>
      <c r="F396" s="400"/>
      <c r="G396" s="864"/>
      <c r="H396" s="792"/>
      <c r="I396" s="642"/>
      <c r="J396" s="863"/>
      <c r="K396" s="400"/>
      <c r="L396" s="400"/>
      <c r="M396" s="401"/>
    </row>
    <row r="397" spans="1:13" ht="18" customHeight="1" x14ac:dyDescent="0.35">
      <c r="A397" s="209">
        <v>27</v>
      </c>
      <c r="B397" s="860"/>
      <c r="C397" s="639"/>
      <c r="D397" s="640"/>
      <c r="E397" s="612"/>
      <c r="F397" s="400"/>
      <c r="G397" s="864"/>
      <c r="H397" s="792"/>
      <c r="I397" s="642"/>
      <c r="J397" s="863"/>
      <c r="K397" s="400"/>
      <c r="L397" s="400"/>
      <c r="M397" s="401"/>
    </row>
    <row r="398" spans="1:13" ht="18" customHeight="1" x14ac:dyDescent="0.35">
      <c r="A398" s="209">
        <v>28</v>
      </c>
      <c r="B398" s="860"/>
      <c r="C398" s="639"/>
      <c r="D398" s="640"/>
      <c r="E398" s="612"/>
      <c r="F398" s="400"/>
      <c r="G398" s="864"/>
      <c r="H398" s="792"/>
      <c r="I398" s="642"/>
      <c r="J398" s="863"/>
      <c r="K398" s="400"/>
      <c r="L398" s="400"/>
      <c r="M398" s="401"/>
    </row>
    <row r="399" spans="1:13" ht="18" customHeight="1" x14ac:dyDescent="0.35">
      <c r="A399" s="209">
        <v>29</v>
      </c>
      <c r="B399" s="860"/>
      <c r="C399" s="639"/>
      <c r="D399" s="640"/>
      <c r="E399" s="612"/>
      <c r="F399" s="400"/>
      <c r="G399" s="864"/>
      <c r="H399" s="792"/>
      <c r="I399" s="642"/>
      <c r="J399" s="863"/>
      <c r="K399" s="400"/>
      <c r="L399" s="400"/>
      <c r="M399" s="401"/>
    </row>
    <row r="400" spans="1:13" ht="18" customHeight="1" x14ac:dyDescent="0.35">
      <c r="A400" s="209">
        <v>30</v>
      </c>
      <c r="B400" s="860"/>
      <c r="C400" s="639"/>
      <c r="D400" s="640"/>
      <c r="E400" s="612"/>
      <c r="F400" s="400"/>
      <c r="G400" s="864"/>
      <c r="H400" s="792"/>
      <c r="I400" s="642"/>
      <c r="J400" s="865"/>
      <c r="K400" s="400"/>
      <c r="L400" s="400"/>
      <c r="M400" s="401"/>
    </row>
    <row r="401" spans="1:13" ht="18" customHeight="1" thickBot="1" x14ac:dyDescent="0.4">
      <c r="A401" s="231">
        <v>31</v>
      </c>
      <c r="B401" s="560"/>
      <c r="C401" s="95"/>
      <c r="D401" s="41"/>
      <c r="E401" s="96"/>
      <c r="F401" s="561"/>
      <c r="G401" s="423"/>
      <c r="H401" s="562"/>
      <c r="I401" s="563"/>
      <c r="J401" s="564"/>
      <c r="K401" s="419"/>
      <c r="L401" s="565"/>
      <c r="M401" s="405"/>
    </row>
    <row r="402" spans="1:13" ht="18" customHeight="1" thickBot="1" x14ac:dyDescent="0.4">
      <c r="A402" s="298" t="s">
        <v>35</v>
      </c>
      <c r="B402" s="367">
        <f>SUM(B391:B401)</f>
        <v>0</v>
      </c>
      <c r="C402" s="367">
        <f>SUM(C391:C401)</f>
        <v>0</v>
      </c>
      <c r="D402" s="367">
        <f>SUM(D391:D401)</f>
        <v>0</v>
      </c>
      <c r="E402" s="367">
        <f>SUM(E391:E401)</f>
        <v>0</v>
      </c>
      <c r="F402" s="407">
        <v>0</v>
      </c>
      <c r="G402" s="567">
        <f t="shared" ref="G402:M402" si="61">SUM(G391:G401)</f>
        <v>0</v>
      </c>
      <c r="H402" s="568">
        <f t="shared" si="61"/>
        <v>0</v>
      </c>
      <c r="I402" s="567">
        <f t="shared" si="61"/>
        <v>0</v>
      </c>
      <c r="J402" s="569">
        <f t="shared" si="61"/>
        <v>0</v>
      </c>
      <c r="K402" s="569">
        <f t="shared" si="61"/>
        <v>0</v>
      </c>
      <c r="L402" s="569">
        <f t="shared" si="61"/>
        <v>0</v>
      </c>
      <c r="M402" s="410">
        <f t="shared" si="61"/>
        <v>0</v>
      </c>
    </row>
    <row r="403" spans="1:13" ht="18" customHeight="1" thickBot="1" x14ac:dyDescent="0.4">
      <c r="A403" s="186" t="s">
        <v>36</v>
      </c>
      <c r="B403" s="570">
        <f>B390+B379+B402</f>
        <v>0</v>
      </c>
      <c r="C403" s="570">
        <f t="shared" ref="C403:M403" si="62">C390+C379+C402</f>
        <v>0</v>
      </c>
      <c r="D403" s="570">
        <f t="shared" si="62"/>
        <v>0</v>
      </c>
      <c r="E403" s="570">
        <f t="shared" si="62"/>
        <v>0</v>
      </c>
      <c r="F403" s="571">
        <f t="shared" si="62"/>
        <v>0</v>
      </c>
      <c r="G403" s="571">
        <f t="shared" si="62"/>
        <v>0</v>
      </c>
      <c r="H403" s="571">
        <f t="shared" si="62"/>
        <v>60</v>
      </c>
      <c r="I403" s="571">
        <f t="shared" si="62"/>
        <v>84</v>
      </c>
      <c r="J403" s="571">
        <f t="shared" si="62"/>
        <v>0</v>
      </c>
      <c r="K403" s="571">
        <f t="shared" si="62"/>
        <v>0</v>
      </c>
      <c r="L403" s="571">
        <f t="shared" si="62"/>
        <v>0</v>
      </c>
      <c r="M403" s="571">
        <f t="shared" si="62"/>
        <v>0</v>
      </c>
    </row>
    <row r="404" spans="1:13" ht="18" customHeight="1" thickBot="1" x14ac:dyDescent="0.4">
      <c r="A404" s="192" t="s">
        <v>19</v>
      </c>
      <c r="B404" s="115">
        <f>B403/30</f>
        <v>0</v>
      </c>
      <c r="C404" s="115">
        <f t="shared" ref="C404:J404" si="63">C403/30</f>
        <v>0</v>
      </c>
      <c r="D404" s="115">
        <f t="shared" si="63"/>
        <v>0</v>
      </c>
      <c r="E404" s="115">
        <f t="shared" si="63"/>
        <v>0</v>
      </c>
      <c r="F404" s="249" t="s">
        <v>68</v>
      </c>
      <c r="G404" s="573">
        <f t="shared" si="63"/>
        <v>0</v>
      </c>
      <c r="H404" s="574">
        <f t="shared" si="63"/>
        <v>2</v>
      </c>
      <c r="I404" s="574">
        <f t="shared" si="63"/>
        <v>2.8</v>
      </c>
      <c r="J404" s="575">
        <f t="shared" si="63"/>
        <v>0</v>
      </c>
      <c r="K404" s="576">
        <v>0</v>
      </c>
      <c r="L404" s="576">
        <v>0</v>
      </c>
      <c r="M404" s="577">
        <v>0</v>
      </c>
    </row>
    <row r="405" spans="1:13" ht="15" thickBot="1" x14ac:dyDescent="0.4">
      <c r="F405" s="4"/>
      <c r="G405" s="4"/>
      <c r="H405" s="4"/>
      <c r="I405" s="4"/>
      <c r="J405" s="4"/>
      <c r="K405" s="4"/>
      <c r="L405" s="4"/>
      <c r="M405" s="4"/>
    </row>
    <row r="406" spans="1:13" ht="16" thickBot="1" x14ac:dyDescent="0.4">
      <c r="A406" s="1" t="s">
        <v>0</v>
      </c>
      <c r="B406" s="2"/>
      <c r="C406" s="2"/>
      <c r="D406" s="2"/>
      <c r="E406" s="2"/>
      <c r="F406" s="3"/>
      <c r="G406" s="4"/>
      <c r="H406" s="4"/>
      <c r="I406" s="4"/>
      <c r="J406" s="4"/>
      <c r="K406" s="4"/>
      <c r="L406" s="4"/>
      <c r="M406" s="4"/>
    </row>
    <row r="407" spans="1:13" ht="15.5" x14ac:dyDescent="0.35">
      <c r="A407" s="5" t="s">
        <v>2</v>
      </c>
      <c r="B407" s="6"/>
      <c r="C407" s="6"/>
      <c r="D407" s="6"/>
      <c r="E407" s="6"/>
      <c r="F407" s="7"/>
      <c r="G407" s="4"/>
      <c r="H407" s="4"/>
      <c r="I407" s="1" t="s">
        <v>56</v>
      </c>
      <c r="J407" s="2"/>
      <c r="K407" s="2"/>
      <c r="L407" s="2"/>
      <c r="M407" s="8"/>
    </row>
    <row r="408" spans="1:13" ht="15.5" x14ac:dyDescent="0.35">
      <c r="A408" s="5" t="s">
        <v>4</v>
      </c>
      <c r="B408" s="6"/>
      <c r="C408" s="6"/>
      <c r="D408" s="6"/>
      <c r="E408" s="6"/>
      <c r="F408" s="7"/>
      <c r="G408" s="4"/>
      <c r="H408" s="4"/>
      <c r="I408" s="5" t="s">
        <v>61</v>
      </c>
      <c r="J408" s="6"/>
      <c r="K408" s="6"/>
      <c r="L408" s="9"/>
      <c r="M408" s="344"/>
    </row>
    <row r="409" spans="1:13" ht="16" thickBot="1" x14ac:dyDescent="0.4">
      <c r="A409" s="11" t="s">
        <v>6</v>
      </c>
      <c r="B409" s="12"/>
      <c r="C409" s="12"/>
      <c r="D409" s="12"/>
      <c r="E409" s="12"/>
      <c r="F409" s="13"/>
      <c r="G409" s="4"/>
      <c r="H409" s="4"/>
      <c r="I409" s="11" t="s">
        <v>7</v>
      </c>
      <c r="J409" s="12"/>
      <c r="K409" s="12"/>
      <c r="L409" s="345" t="s">
        <v>57</v>
      </c>
      <c r="M409" s="346"/>
    </row>
    <row r="410" spans="1:13" ht="26" thickBot="1" x14ac:dyDescent="0.65">
      <c r="A410" s="17" t="s">
        <v>39</v>
      </c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5.5" x14ac:dyDescent="0.35">
      <c r="A411" s="909" t="s">
        <v>10</v>
      </c>
      <c r="B411" s="912" t="s">
        <v>11</v>
      </c>
      <c r="C411" s="913"/>
      <c r="D411" s="913"/>
      <c r="E411" s="914"/>
      <c r="F411" s="20" t="s">
        <v>12</v>
      </c>
      <c r="G411" s="912" t="s">
        <v>13</v>
      </c>
      <c r="H411" s="913"/>
      <c r="I411" s="914"/>
      <c r="J411" s="20" t="s">
        <v>14</v>
      </c>
      <c r="K411" s="912" t="s">
        <v>15</v>
      </c>
      <c r="L411" s="914"/>
      <c r="M411" s="20" t="s">
        <v>16</v>
      </c>
    </row>
    <row r="412" spans="1:13" ht="16" thickBot="1" x14ac:dyDescent="0.4">
      <c r="A412" s="910"/>
      <c r="B412" s="21" t="s">
        <v>17</v>
      </c>
      <c r="C412" s="22" t="s">
        <v>18</v>
      </c>
      <c r="D412" s="22" t="s">
        <v>19</v>
      </c>
      <c r="E412" s="23" t="s">
        <v>18</v>
      </c>
      <c r="F412" s="27" t="s">
        <v>20</v>
      </c>
      <c r="G412" s="24" t="s">
        <v>21</v>
      </c>
      <c r="H412" s="25"/>
      <c r="I412" s="26"/>
      <c r="J412" s="27" t="s">
        <v>22</v>
      </c>
      <c r="K412" s="24" t="s">
        <v>23</v>
      </c>
      <c r="L412" s="26"/>
      <c r="M412" s="27" t="s">
        <v>24</v>
      </c>
    </row>
    <row r="413" spans="1:13" ht="16" thickBot="1" x14ac:dyDescent="0.4">
      <c r="A413" s="911"/>
      <c r="B413" s="578" t="s">
        <v>25</v>
      </c>
      <c r="C413" s="392" t="s">
        <v>25</v>
      </c>
      <c r="D413" s="392"/>
      <c r="E413" s="393" t="s">
        <v>26</v>
      </c>
      <c r="F413" s="579" t="s">
        <v>27</v>
      </c>
      <c r="G413" s="391" t="s">
        <v>28</v>
      </c>
      <c r="H413" s="392" t="s">
        <v>29</v>
      </c>
      <c r="I413" s="393" t="s">
        <v>30</v>
      </c>
      <c r="J413" s="579" t="s">
        <v>31</v>
      </c>
      <c r="K413" s="36" t="s">
        <v>32</v>
      </c>
      <c r="L413" s="30" t="s">
        <v>33</v>
      </c>
      <c r="M413" s="579" t="s">
        <v>34</v>
      </c>
    </row>
    <row r="414" spans="1:13" ht="15.5" x14ac:dyDescent="0.35">
      <c r="A414" s="221">
        <v>1</v>
      </c>
      <c r="B414" s="597"/>
      <c r="C414" s="597"/>
      <c r="D414" s="597"/>
      <c r="E414" s="597"/>
      <c r="F414" s="204"/>
      <c r="G414" s="866"/>
      <c r="H414" s="866"/>
      <c r="I414" s="866"/>
      <c r="J414" s="867"/>
      <c r="K414" s="856"/>
      <c r="L414" s="640"/>
      <c r="M414" s="417"/>
    </row>
    <row r="415" spans="1:13" ht="15.5" x14ac:dyDescent="0.35">
      <c r="A415" s="223">
        <v>2</v>
      </c>
      <c r="B415" s="597"/>
      <c r="C415" s="597"/>
      <c r="D415" s="597"/>
      <c r="E415" s="597"/>
      <c r="F415" s="209"/>
      <c r="G415" s="866"/>
      <c r="H415" s="866"/>
      <c r="I415" s="866"/>
      <c r="J415" s="868"/>
      <c r="K415" s="860"/>
      <c r="L415" s="639"/>
      <c r="M415" s="417"/>
    </row>
    <row r="416" spans="1:13" ht="15.5" x14ac:dyDescent="0.35">
      <c r="A416" s="223">
        <v>3</v>
      </c>
      <c r="B416" s="597"/>
      <c r="C416" s="597"/>
      <c r="D416" s="597"/>
      <c r="E416" s="597"/>
      <c r="F416" s="209"/>
      <c r="G416" s="866"/>
      <c r="H416" s="866"/>
      <c r="I416" s="866"/>
      <c r="J416" s="868"/>
      <c r="K416" s="860"/>
      <c r="L416" s="639"/>
      <c r="M416" s="417"/>
    </row>
    <row r="417" spans="1:13" ht="15.5" x14ac:dyDescent="0.35">
      <c r="A417" s="223">
        <v>4</v>
      </c>
      <c r="B417" s="597"/>
      <c r="C417" s="597"/>
      <c r="D417" s="597"/>
      <c r="E417" s="597"/>
      <c r="F417" s="209"/>
      <c r="G417" s="866"/>
      <c r="H417" s="866"/>
      <c r="I417" s="866"/>
      <c r="J417" s="868"/>
      <c r="K417" s="860"/>
      <c r="L417" s="639"/>
      <c r="M417" s="417"/>
    </row>
    <row r="418" spans="1:13" ht="15.5" x14ac:dyDescent="0.35">
      <c r="A418" s="223">
        <v>5</v>
      </c>
      <c r="B418" s="597"/>
      <c r="C418" s="597"/>
      <c r="D418" s="597"/>
      <c r="E418" s="597"/>
      <c r="F418" s="209"/>
      <c r="G418" s="866"/>
      <c r="H418" s="866"/>
      <c r="I418" s="866"/>
      <c r="J418" s="868"/>
      <c r="K418" s="860"/>
      <c r="L418" s="639"/>
      <c r="M418" s="417"/>
    </row>
    <row r="419" spans="1:13" ht="15.5" x14ac:dyDescent="0.35">
      <c r="A419" s="223">
        <v>6</v>
      </c>
      <c r="B419" s="597"/>
      <c r="C419" s="597"/>
      <c r="D419" s="597"/>
      <c r="E419" s="597"/>
      <c r="F419" s="209"/>
      <c r="G419" s="866"/>
      <c r="H419" s="866"/>
      <c r="I419" s="866"/>
      <c r="J419" s="868"/>
      <c r="K419" s="860"/>
      <c r="L419" s="639"/>
      <c r="M419" s="417"/>
    </row>
    <row r="420" spans="1:13" ht="15.5" x14ac:dyDescent="0.35">
      <c r="A420" s="223">
        <v>7</v>
      </c>
      <c r="B420" s="597"/>
      <c r="C420" s="597"/>
      <c r="D420" s="597"/>
      <c r="E420" s="597"/>
      <c r="F420" s="209"/>
      <c r="G420" s="866"/>
      <c r="H420" s="866"/>
      <c r="I420" s="866"/>
      <c r="J420" s="868"/>
      <c r="K420" s="860"/>
      <c r="L420" s="639"/>
      <c r="M420" s="417"/>
    </row>
    <row r="421" spans="1:13" ht="15.5" x14ac:dyDescent="0.35">
      <c r="A421" s="223">
        <v>8</v>
      </c>
      <c r="B421" s="597"/>
      <c r="C421" s="597"/>
      <c r="D421" s="597"/>
      <c r="E421" s="597"/>
      <c r="F421" s="209"/>
      <c r="G421" s="866"/>
      <c r="H421" s="866"/>
      <c r="I421" s="866"/>
      <c r="J421" s="868"/>
      <c r="K421" s="860"/>
      <c r="L421" s="639"/>
      <c r="M421" s="417"/>
    </row>
    <row r="422" spans="1:13" ht="15.5" x14ac:dyDescent="0.35">
      <c r="A422" s="223">
        <v>9</v>
      </c>
      <c r="B422" s="597"/>
      <c r="C422" s="597"/>
      <c r="D422" s="597"/>
      <c r="E422" s="597"/>
      <c r="F422" s="209"/>
      <c r="G422" s="866"/>
      <c r="H422" s="866"/>
      <c r="I422" s="866"/>
      <c r="J422" s="868"/>
      <c r="K422" s="860"/>
      <c r="L422" s="639"/>
      <c r="M422" s="417"/>
    </row>
    <row r="423" spans="1:13" ht="16" thickBot="1" x14ac:dyDescent="0.4">
      <c r="A423" s="311">
        <v>10</v>
      </c>
      <c r="B423" s="597"/>
      <c r="C423" s="597"/>
      <c r="D423" s="597"/>
      <c r="E423" s="597"/>
      <c r="F423" s="214"/>
      <c r="G423" s="866"/>
      <c r="H423" s="866"/>
      <c r="I423" s="866"/>
      <c r="J423" s="868"/>
      <c r="K423" s="860"/>
      <c r="L423" s="639"/>
      <c r="M423" s="580"/>
    </row>
    <row r="424" spans="1:13" ht="16" thickBot="1" x14ac:dyDescent="0.4">
      <c r="A424" s="329" t="s">
        <v>35</v>
      </c>
      <c r="B424" s="407">
        <f>SUM(B414:B423)</f>
        <v>0</v>
      </c>
      <c r="C424" s="407">
        <f>SUM(C414:C423)</f>
        <v>0</v>
      </c>
      <c r="D424" s="407">
        <f>SUM(D414:D423)</f>
        <v>0</v>
      </c>
      <c r="E424" s="407">
        <f>SUM(E414:E423)</f>
        <v>0</v>
      </c>
      <c r="F424" s="410">
        <v>0</v>
      </c>
      <c r="G424" s="415">
        <f t="shared" ref="G424:L424" si="64">SUM(G414:G423)</f>
        <v>0</v>
      </c>
      <c r="H424" s="557">
        <f t="shared" si="64"/>
        <v>0</v>
      </c>
      <c r="I424" s="557">
        <f t="shared" si="64"/>
        <v>0</v>
      </c>
      <c r="J424" s="581">
        <f t="shared" si="64"/>
        <v>0</v>
      </c>
      <c r="K424" s="409">
        <f t="shared" si="64"/>
        <v>0</v>
      </c>
      <c r="L424" s="407">
        <f t="shared" si="64"/>
        <v>0</v>
      </c>
      <c r="M424" s="410">
        <v>94</v>
      </c>
    </row>
    <row r="425" spans="1:13" ht="15.5" x14ac:dyDescent="0.35">
      <c r="A425" s="316">
        <v>11</v>
      </c>
      <c r="B425" s="597"/>
      <c r="C425" s="597"/>
      <c r="D425" s="597"/>
      <c r="E425" s="597"/>
      <c r="F425" s="306"/>
      <c r="G425" s="866"/>
      <c r="H425" s="866"/>
      <c r="I425" s="866"/>
      <c r="J425" s="868"/>
      <c r="K425" s="860"/>
      <c r="L425" s="639"/>
      <c r="M425" s="400"/>
    </row>
    <row r="426" spans="1:13" ht="15.5" x14ac:dyDescent="0.35">
      <c r="A426" s="223">
        <v>12</v>
      </c>
      <c r="B426" s="597"/>
      <c r="C426" s="597"/>
      <c r="D426" s="597"/>
      <c r="E426" s="597"/>
      <c r="F426" s="209"/>
      <c r="G426" s="866"/>
      <c r="H426" s="866"/>
      <c r="I426" s="866"/>
      <c r="J426" s="868"/>
      <c r="K426" s="860"/>
      <c r="L426" s="639"/>
      <c r="M426" s="417"/>
    </row>
    <row r="427" spans="1:13" ht="15.5" x14ac:dyDescent="0.35">
      <c r="A427" s="223">
        <v>13</v>
      </c>
      <c r="B427" s="597"/>
      <c r="C427" s="597"/>
      <c r="D427" s="597"/>
      <c r="E427" s="597"/>
      <c r="F427" s="209"/>
      <c r="G427" s="866"/>
      <c r="H427" s="866"/>
      <c r="I427" s="866"/>
      <c r="J427" s="868"/>
      <c r="K427" s="860"/>
      <c r="L427" s="639"/>
      <c r="M427" s="417"/>
    </row>
    <row r="428" spans="1:13" ht="15.5" x14ac:dyDescent="0.35">
      <c r="A428" s="223">
        <v>14</v>
      </c>
      <c r="B428" s="597"/>
      <c r="C428" s="597"/>
      <c r="D428" s="597"/>
      <c r="E428" s="597"/>
      <c r="F428" s="209"/>
      <c r="G428" s="866"/>
      <c r="H428" s="866"/>
      <c r="I428" s="866"/>
      <c r="J428" s="868"/>
      <c r="K428" s="860"/>
      <c r="L428" s="639"/>
      <c r="M428" s="417"/>
    </row>
    <row r="429" spans="1:13" ht="15.5" x14ac:dyDescent="0.35">
      <c r="A429" s="223">
        <v>15</v>
      </c>
      <c r="B429" s="597"/>
      <c r="C429" s="597"/>
      <c r="D429" s="597"/>
      <c r="E429" s="597"/>
      <c r="F429" s="209"/>
      <c r="G429" s="866"/>
      <c r="H429" s="866"/>
      <c r="I429" s="866"/>
      <c r="J429" s="868"/>
      <c r="K429" s="860"/>
      <c r="L429" s="639"/>
      <c r="M429" s="417"/>
    </row>
    <row r="430" spans="1:13" ht="15.5" x14ac:dyDescent="0.35">
      <c r="A430" s="223">
        <v>16</v>
      </c>
      <c r="B430" s="597"/>
      <c r="C430" s="597"/>
      <c r="D430" s="597"/>
      <c r="E430" s="597"/>
      <c r="F430" s="209"/>
      <c r="G430" s="866"/>
      <c r="H430" s="866"/>
      <c r="I430" s="866"/>
      <c r="J430" s="868"/>
      <c r="K430" s="860"/>
      <c r="L430" s="639"/>
      <c r="M430" s="417"/>
    </row>
    <row r="431" spans="1:13" ht="15.5" x14ac:dyDescent="0.35">
      <c r="A431" s="223">
        <v>17</v>
      </c>
      <c r="B431" s="597"/>
      <c r="C431" s="597"/>
      <c r="D431" s="597"/>
      <c r="E431" s="597"/>
      <c r="F431" s="209"/>
      <c r="G431" s="866"/>
      <c r="H431" s="866"/>
      <c r="I431" s="866"/>
      <c r="J431" s="868"/>
      <c r="K431" s="860"/>
      <c r="L431" s="639"/>
      <c r="M431" s="417"/>
    </row>
    <row r="432" spans="1:13" ht="15.5" x14ac:dyDescent="0.35">
      <c r="A432" s="223">
        <v>18</v>
      </c>
      <c r="B432" s="597"/>
      <c r="C432" s="597"/>
      <c r="D432" s="597"/>
      <c r="E432" s="597"/>
      <c r="F432" s="209"/>
      <c r="G432" s="866"/>
      <c r="H432" s="866"/>
      <c r="I432" s="866"/>
      <c r="J432" s="868"/>
      <c r="K432" s="860"/>
      <c r="L432" s="639"/>
      <c r="M432" s="417"/>
    </row>
    <row r="433" spans="1:13" ht="15.5" x14ac:dyDescent="0.35">
      <c r="A433" s="223">
        <v>19</v>
      </c>
      <c r="B433" s="597"/>
      <c r="C433" s="597"/>
      <c r="D433" s="597"/>
      <c r="E433" s="597"/>
      <c r="F433" s="209"/>
      <c r="G433" s="866"/>
      <c r="H433" s="866"/>
      <c r="I433" s="866"/>
      <c r="J433" s="868"/>
      <c r="K433" s="860"/>
      <c r="L433" s="639"/>
      <c r="M433" s="417"/>
    </row>
    <row r="434" spans="1:13" ht="16" thickBot="1" x14ac:dyDescent="0.4">
      <c r="A434" s="311">
        <v>20</v>
      </c>
      <c r="B434" s="597"/>
      <c r="C434" s="597"/>
      <c r="D434" s="597"/>
      <c r="E434" s="597"/>
      <c r="F434" s="214"/>
      <c r="G434" s="866"/>
      <c r="H434" s="866"/>
      <c r="I434" s="866"/>
      <c r="J434" s="868"/>
      <c r="K434" s="860"/>
      <c r="L434" s="639"/>
      <c r="M434" s="580"/>
    </row>
    <row r="435" spans="1:13" ht="16" thickBot="1" x14ac:dyDescent="0.4">
      <c r="A435" s="329" t="s">
        <v>35</v>
      </c>
      <c r="B435" s="407">
        <f t="shared" ref="B435:L435" si="65">SUM(B425:B434)</f>
        <v>0</v>
      </c>
      <c r="C435" s="407">
        <f t="shared" si="65"/>
        <v>0</v>
      </c>
      <c r="D435" s="407">
        <f t="shared" si="65"/>
        <v>0</v>
      </c>
      <c r="E435" s="407">
        <f t="shared" si="65"/>
        <v>0</v>
      </c>
      <c r="F435" s="410">
        <f t="shared" si="65"/>
        <v>0</v>
      </c>
      <c r="G435" s="415">
        <f t="shared" si="65"/>
        <v>0</v>
      </c>
      <c r="H435" s="582">
        <f t="shared" si="65"/>
        <v>0</v>
      </c>
      <c r="I435" s="583">
        <f t="shared" si="65"/>
        <v>0</v>
      </c>
      <c r="J435" s="581">
        <f t="shared" si="65"/>
        <v>0</v>
      </c>
      <c r="K435" s="409">
        <f t="shared" si="65"/>
        <v>0</v>
      </c>
      <c r="L435" s="407">
        <f t="shared" si="65"/>
        <v>0</v>
      </c>
      <c r="M435" s="410">
        <v>40.799999999999997</v>
      </c>
    </row>
    <row r="436" spans="1:13" ht="15.5" x14ac:dyDescent="0.35">
      <c r="A436" s="316">
        <v>21</v>
      </c>
      <c r="B436" s="597"/>
      <c r="C436" s="597"/>
      <c r="D436" s="597"/>
      <c r="E436" s="597"/>
      <c r="F436" s="639"/>
      <c r="G436" s="866"/>
      <c r="H436" s="866"/>
      <c r="I436" s="866"/>
      <c r="J436" s="868"/>
      <c r="K436" s="860"/>
      <c r="L436" s="639"/>
      <c r="M436" s="400"/>
    </row>
    <row r="437" spans="1:13" ht="15.5" x14ac:dyDescent="0.35">
      <c r="A437" s="223">
        <v>22</v>
      </c>
      <c r="B437" s="597"/>
      <c r="C437" s="597"/>
      <c r="D437" s="597"/>
      <c r="E437" s="597"/>
      <c r="F437" s="639"/>
      <c r="G437" s="866"/>
      <c r="H437" s="866"/>
      <c r="I437" s="866"/>
      <c r="J437" s="868"/>
      <c r="K437" s="860"/>
      <c r="L437" s="639"/>
      <c r="M437" s="417"/>
    </row>
    <row r="438" spans="1:13" ht="15.5" x14ac:dyDescent="0.35">
      <c r="A438" s="223">
        <v>23</v>
      </c>
      <c r="B438" s="597"/>
      <c r="C438" s="597"/>
      <c r="D438" s="597"/>
      <c r="E438" s="597"/>
      <c r="F438" s="639"/>
      <c r="G438" s="866"/>
      <c r="H438" s="866"/>
      <c r="I438" s="866"/>
      <c r="J438" s="868"/>
      <c r="K438" s="860"/>
      <c r="L438" s="639"/>
      <c r="M438" s="417"/>
    </row>
    <row r="439" spans="1:13" ht="15.5" x14ac:dyDescent="0.35">
      <c r="A439" s="223">
        <v>24</v>
      </c>
      <c r="B439" s="597"/>
      <c r="C439" s="597"/>
      <c r="D439" s="597"/>
      <c r="E439" s="597"/>
      <c r="F439" s="639"/>
      <c r="G439" s="866"/>
      <c r="H439" s="866"/>
      <c r="I439" s="866"/>
      <c r="J439" s="868"/>
      <c r="K439" s="860"/>
      <c r="L439" s="639"/>
      <c r="M439" s="417"/>
    </row>
    <row r="440" spans="1:13" ht="15.5" x14ac:dyDescent="0.35">
      <c r="A440" s="223">
        <v>25</v>
      </c>
      <c r="B440" s="597"/>
      <c r="C440" s="597"/>
      <c r="D440" s="597"/>
      <c r="E440" s="597"/>
      <c r="F440" s="639"/>
      <c r="G440" s="866"/>
      <c r="H440" s="866"/>
      <c r="I440" s="866"/>
      <c r="J440" s="868"/>
      <c r="K440" s="860"/>
      <c r="L440" s="639"/>
      <c r="M440" s="417"/>
    </row>
    <row r="441" spans="1:13" ht="15.5" x14ac:dyDescent="0.35">
      <c r="A441" s="223">
        <v>26</v>
      </c>
      <c r="B441" s="597"/>
      <c r="C441" s="597"/>
      <c r="D441" s="597"/>
      <c r="E441" s="597"/>
      <c r="F441" s="639"/>
      <c r="G441" s="866"/>
      <c r="H441" s="866"/>
      <c r="I441" s="866"/>
      <c r="J441" s="868"/>
      <c r="K441" s="860"/>
      <c r="L441" s="639"/>
      <c r="M441" s="417"/>
    </row>
    <row r="442" spans="1:13" ht="15.5" x14ac:dyDescent="0.35">
      <c r="A442" s="223">
        <v>27</v>
      </c>
      <c r="B442" s="597"/>
      <c r="C442" s="597"/>
      <c r="D442" s="597"/>
      <c r="E442" s="597"/>
      <c r="F442" s="639"/>
      <c r="G442" s="866"/>
      <c r="H442" s="866"/>
      <c r="I442" s="866"/>
      <c r="J442" s="868"/>
      <c r="K442" s="860"/>
      <c r="L442" s="639"/>
      <c r="M442" s="417"/>
    </row>
    <row r="443" spans="1:13" ht="15.5" x14ac:dyDescent="0.35">
      <c r="A443" s="223">
        <v>28</v>
      </c>
      <c r="B443" s="597"/>
      <c r="C443" s="597"/>
      <c r="D443" s="597"/>
      <c r="E443" s="597"/>
      <c r="F443" s="639"/>
      <c r="G443" s="866"/>
      <c r="H443" s="866"/>
      <c r="I443" s="866"/>
      <c r="J443" s="868"/>
      <c r="K443" s="860"/>
      <c r="L443" s="639"/>
      <c r="M443" s="417"/>
    </row>
    <row r="444" spans="1:13" ht="15.5" x14ac:dyDescent="0.35">
      <c r="A444" s="223">
        <v>29</v>
      </c>
      <c r="B444" s="597"/>
      <c r="C444" s="597"/>
      <c r="D444" s="597"/>
      <c r="E444" s="597"/>
      <c r="F444" s="639"/>
      <c r="G444" s="866"/>
      <c r="H444" s="866"/>
      <c r="I444" s="866"/>
      <c r="J444" s="868"/>
      <c r="K444" s="860"/>
      <c r="L444" s="639"/>
      <c r="M444" s="417"/>
    </row>
    <row r="445" spans="1:13" ht="15.5" x14ac:dyDescent="0.35">
      <c r="A445" s="223">
        <v>30</v>
      </c>
      <c r="B445" s="597"/>
      <c r="C445" s="597"/>
      <c r="D445" s="597"/>
      <c r="E445" s="597"/>
      <c r="F445" s="639"/>
      <c r="G445" s="866"/>
      <c r="H445" s="866"/>
      <c r="I445" s="866"/>
      <c r="J445" s="868"/>
      <c r="K445" s="860"/>
      <c r="L445" s="639"/>
      <c r="M445" s="417"/>
    </row>
    <row r="446" spans="1:13" ht="16" thickBot="1" x14ac:dyDescent="0.4">
      <c r="A446" s="311">
        <v>31</v>
      </c>
      <c r="B446" s="597"/>
      <c r="C446" s="597"/>
      <c r="D446" s="597"/>
      <c r="E446" s="597"/>
      <c r="F446" s="869"/>
      <c r="G446" s="866"/>
      <c r="H446" s="866"/>
      <c r="I446" s="866"/>
      <c r="J446" s="870"/>
      <c r="K446" s="860"/>
      <c r="L446" s="639"/>
      <c r="M446" s="417"/>
    </row>
    <row r="447" spans="1:13" ht="16" thickBot="1" x14ac:dyDescent="0.4">
      <c r="A447" s="329" t="s">
        <v>35</v>
      </c>
      <c r="B447" s="407">
        <f>SUM(B436:B446)</f>
        <v>0</v>
      </c>
      <c r="C447" s="407">
        <f>SUM(C436:C446)</f>
        <v>0</v>
      </c>
      <c r="D447" s="407">
        <f>SUM(D436:D446)</f>
        <v>0</v>
      </c>
      <c r="E447" s="410">
        <f>SUM(E436:E446)</f>
        <v>0</v>
      </c>
      <c r="F447" s="410">
        <f>SUM(F436:F446)</f>
        <v>0</v>
      </c>
      <c r="G447" s="411">
        <f t="shared" ref="G447:M447" si="66">SUM(G436:G446)</f>
        <v>0</v>
      </c>
      <c r="H447" s="582">
        <f t="shared" si="66"/>
        <v>0</v>
      </c>
      <c r="I447" s="557">
        <f t="shared" si="66"/>
        <v>0</v>
      </c>
      <c r="J447" s="410">
        <f t="shared" si="66"/>
        <v>0</v>
      </c>
      <c r="K447" s="409">
        <f t="shared" si="66"/>
        <v>0</v>
      </c>
      <c r="L447" s="407">
        <f t="shared" si="66"/>
        <v>0</v>
      </c>
      <c r="M447" s="410">
        <f t="shared" si="66"/>
        <v>0</v>
      </c>
    </row>
    <row r="448" spans="1:13" ht="16" thickBot="1" x14ac:dyDescent="0.4">
      <c r="A448" s="335" t="s">
        <v>36</v>
      </c>
      <c r="B448" s="571">
        <f>B447+B435+B424</f>
        <v>0</v>
      </c>
      <c r="C448" s="571">
        <f t="shared" ref="C448:M448" si="67">C447+C435+C424</f>
        <v>0</v>
      </c>
      <c r="D448" s="571">
        <f t="shared" si="67"/>
        <v>0</v>
      </c>
      <c r="E448" s="571">
        <f t="shared" si="67"/>
        <v>0</v>
      </c>
      <c r="F448" s="571">
        <f t="shared" si="67"/>
        <v>0</v>
      </c>
      <c r="G448" s="571">
        <f t="shared" si="67"/>
        <v>0</v>
      </c>
      <c r="H448" s="571">
        <f t="shared" si="67"/>
        <v>0</v>
      </c>
      <c r="I448" s="585">
        <f t="shared" si="67"/>
        <v>0</v>
      </c>
      <c r="J448" s="572">
        <f t="shared" si="67"/>
        <v>0</v>
      </c>
      <c r="K448" s="586">
        <f t="shared" si="67"/>
        <v>0</v>
      </c>
      <c r="L448" s="571">
        <f t="shared" si="67"/>
        <v>0</v>
      </c>
      <c r="M448" s="572">
        <f t="shared" si="67"/>
        <v>134.80000000000001</v>
      </c>
    </row>
    <row r="449" spans="1:13" ht="16" thickBot="1" x14ac:dyDescent="0.4">
      <c r="A449" s="337" t="s">
        <v>19</v>
      </c>
      <c r="B449" s="587">
        <f>B448/31</f>
        <v>0</v>
      </c>
      <c r="C449" s="587">
        <f t="shared" ref="C449:E449" si="68">C448/31</f>
        <v>0</v>
      </c>
      <c r="D449" s="587">
        <f t="shared" si="68"/>
        <v>0</v>
      </c>
      <c r="E449" s="587">
        <f t="shared" si="68"/>
        <v>0</v>
      </c>
      <c r="F449" s="257" t="s">
        <v>69</v>
      </c>
      <c r="G449" s="588">
        <f>G448/31</f>
        <v>0</v>
      </c>
      <c r="H449" s="589">
        <f t="shared" ref="H449:J449" si="69">H448/31</f>
        <v>0</v>
      </c>
      <c r="I449" s="590">
        <f t="shared" si="69"/>
        <v>0</v>
      </c>
      <c r="J449" s="591">
        <f t="shared" si="69"/>
        <v>0</v>
      </c>
      <c r="K449" s="592"/>
      <c r="L449" s="576"/>
      <c r="M449" s="577"/>
    </row>
    <row r="450" spans="1:13" ht="15" thickBot="1" x14ac:dyDescent="0.4">
      <c r="F450" s="4"/>
      <c r="G450" s="4"/>
      <c r="H450" s="4"/>
      <c r="I450" s="4"/>
      <c r="J450" s="4"/>
      <c r="K450" s="4"/>
      <c r="L450" s="4"/>
      <c r="M450" s="4"/>
    </row>
    <row r="451" spans="1:13" ht="16" thickBot="1" x14ac:dyDescent="0.4">
      <c r="A451" s="1" t="s">
        <v>0</v>
      </c>
      <c r="B451" s="2"/>
      <c r="C451" s="2"/>
      <c r="D451" s="2"/>
      <c r="E451" s="2"/>
      <c r="F451" s="3"/>
      <c r="G451" s="4"/>
      <c r="H451" s="4"/>
      <c r="I451" s="4"/>
      <c r="J451" s="4"/>
      <c r="K451" s="4"/>
      <c r="L451" s="4"/>
      <c r="M451" s="4"/>
    </row>
    <row r="452" spans="1:13" ht="15.5" x14ac:dyDescent="0.35">
      <c r="A452" s="5" t="s">
        <v>2</v>
      </c>
      <c r="B452" s="6"/>
      <c r="C452" s="6"/>
      <c r="D452" s="6"/>
      <c r="E452" s="6"/>
      <c r="F452" s="7"/>
      <c r="G452" s="4"/>
      <c r="H452" s="4"/>
      <c r="I452" s="1" t="s">
        <v>56</v>
      </c>
      <c r="J452" s="2"/>
      <c r="K452" s="2"/>
      <c r="L452" s="2"/>
      <c r="M452" s="8"/>
    </row>
    <row r="453" spans="1:13" ht="15.5" x14ac:dyDescent="0.35">
      <c r="A453" s="5" t="s">
        <v>4</v>
      </c>
      <c r="B453" s="6"/>
      <c r="C453" s="6"/>
      <c r="D453" s="6"/>
      <c r="E453" s="6"/>
      <c r="F453" s="7"/>
      <c r="G453" s="4"/>
      <c r="H453" s="4"/>
      <c r="I453" s="5" t="s">
        <v>61</v>
      </c>
      <c r="J453" s="6"/>
      <c r="K453" s="6"/>
      <c r="L453" s="9"/>
      <c r="M453" s="344"/>
    </row>
    <row r="454" spans="1:13" ht="16" thickBot="1" x14ac:dyDescent="0.4">
      <c r="A454" s="11" t="s">
        <v>6</v>
      </c>
      <c r="B454" s="12"/>
      <c r="C454" s="12"/>
      <c r="D454" s="12"/>
      <c r="E454" s="12"/>
      <c r="F454" s="13"/>
      <c r="G454" s="4"/>
      <c r="H454" s="4"/>
      <c r="I454" s="11" t="s">
        <v>7</v>
      </c>
      <c r="J454" s="12"/>
      <c r="K454" s="12"/>
      <c r="L454" s="345" t="s">
        <v>58</v>
      </c>
      <c r="M454" s="346"/>
    </row>
    <row r="455" spans="1:13" ht="26" thickBot="1" x14ac:dyDescent="0.65">
      <c r="A455" s="17" t="s">
        <v>39</v>
      </c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x14ac:dyDescent="0.35">
      <c r="A456" s="915" t="s">
        <v>10</v>
      </c>
      <c r="B456" s="918" t="s">
        <v>11</v>
      </c>
      <c r="C456" s="919"/>
      <c r="D456" s="919"/>
      <c r="E456" s="920"/>
      <c r="F456" s="132" t="s">
        <v>12</v>
      </c>
      <c r="G456" s="918" t="s">
        <v>13</v>
      </c>
      <c r="H456" s="919"/>
      <c r="I456" s="920"/>
      <c r="J456" s="132" t="s">
        <v>14</v>
      </c>
      <c r="K456" s="918" t="s">
        <v>15</v>
      </c>
      <c r="L456" s="920"/>
      <c r="M456" s="132" t="s">
        <v>16</v>
      </c>
    </row>
    <row r="457" spans="1:13" ht="15" thickBot="1" x14ac:dyDescent="0.4">
      <c r="A457" s="916"/>
      <c r="B457" s="134" t="s">
        <v>17</v>
      </c>
      <c r="C457" s="135" t="s">
        <v>18</v>
      </c>
      <c r="D457" s="135" t="s">
        <v>19</v>
      </c>
      <c r="E457" s="200" t="s">
        <v>18</v>
      </c>
      <c r="F457" s="140" t="s">
        <v>20</v>
      </c>
      <c r="G457" s="924" t="s">
        <v>21</v>
      </c>
      <c r="H457" s="925"/>
      <c r="I457" s="926"/>
      <c r="J457" s="140" t="s">
        <v>22</v>
      </c>
      <c r="K457" s="924" t="s">
        <v>23</v>
      </c>
      <c r="L457" s="926"/>
      <c r="M457" s="140" t="s">
        <v>24</v>
      </c>
    </row>
    <row r="458" spans="1:13" ht="15" thickBot="1" x14ac:dyDescent="0.4">
      <c r="A458" s="917"/>
      <c r="B458" s="437" t="s">
        <v>25</v>
      </c>
      <c r="C458" s="147" t="s">
        <v>25</v>
      </c>
      <c r="D458" s="147"/>
      <c r="E458" s="593" t="s">
        <v>26</v>
      </c>
      <c r="F458" s="350" t="s">
        <v>27</v>
      </c>
      <c r="G458" s="357" t="s">
        <v>28</v>
      </c>
      <c r="H458" s="354" t="s">
        <v>29</v>
      </c>
      <c r="I458" s="355" t="s">
        <v>30</v>
      </c>
      <c r="J458" s="351" t="s">
        <v>31</v>
      </c>
      <c r="K458" s="594" t="s">
        <v>32</v>
      </c>
      <c r="L458" s="347" t="s">
        <v>33</v>
      </c>
      <c r="M458" s="484" t="s">
        <v>34</v>
      </c>
    </row>
    <row r="459" spans="1:13" ht="15.5" x14ac:dyDescent="0.35">
      <c r="A459" s="204">
        <v>1</v>
      </c>
      <c r="B459" s="871"/>
      <c r="C459" s="872"/>
      <c r="D459" s="873"/>
      <c r="E459" s="874"/>
      <c r="F459" s="595"/>
      <c r="G459" s="875"/>
      <c r="H459" s="876"/>
      <c r="I459" s="877"/>
      <c r="J459" s="822"/>
      <c r="K459" s="596"/>
      <c r="L459" s="820"/>
      <c r="M459" s="401"/>
    </row>
    <row r="460" spans="1:13" ht="15.5" x14ac:dyDescent="0.35">
      <c r="A460" s="209">
        <v>2</v>
      </c>
      <c r="B460" s="878"/>
      <c r="C460" s="879"/>
      <c r="D460" s="873"/>
      <c r="E460" s="880"/>
      <c r="F460" s="595"/>
      <c r="G460" s="881"/>
      <c r="H460" s="882"/>
      <c r="I460" s="883"/>
      <c r="J460" s="824"/>
      <c r="K460" s="597"/>
      <c r="L460" s="612"/>
      <c r="M460" s="418"/>
    </row>
    <row r="461" spans="1:13" ht="15.5" x14ac:dyDescent="0.35">
      <c r="A461" s="209">
        <v>3</v>
      </c>
      <c r="B461" s="878"/>
      <c r="C461" s="884"/>
      <c r="D461" s="873"/>
      <c r="E461" s="880"/>
      <c r="F461" s="595"/>
      <c r="G461" s="881"/>
      <c r="H461" s="882"/>
      <c r="I461" s="883"/>
      <c r="J461" s="824"/>
      <c r="K461" s="597"/>
      <c r="L461" s="612"/>
      <c r="M461" s="418"/>
    </row>
    <row r="462" spans="1:13" ht="15.5" x14ac:dyDescent="0.35">
      <c r="A462" s="209">
        <v>4</v>
      </c>
      <c r="B462" s="878"/>
      <c r="C462" s="879"/>
      <c r="D462" s="873"/>
      <c r="E462" s="885"/>
      <c r="F462" s="595"/>
      <c r="G462" s="881"/>
      <c r="H462" s="882"/>
      <c r="I462" s="883"/>
      <c r="J462" s="824"/>
      <c r="K462" s="597"/>
      <c r="L462" s="612"/>
      <c r="M462" s="418"/>
    </row>
    <row r="463" spans="1:13" ht="15.5" x14ac:dyDescent="0.35">
      <c r="A463" s="209">
        <v>5</v>
      </c>
      <c r="B463" s="878"/>
      <c r="C463" s="879"/>
      <c r="D463" s="873"/>
      <c r="E463" s="885"/>
      <c r="F463" s="595"/>
      <c r="G463" s="881"/>
      <c r="H463" s="882"/>
      <c r="I463" s="883"/>
      <c r="J463" s="824"/>
      <c r="K463" s="597"/>
      <c r="L463" s="612"/>
      <c r="M463" s="418"/>
    </row>
    <row r="464" spans="1:13" ht="15.5" x14ac:dyDescent="0.35">
      <c r="A464" s="209">
        <v>6</v>
      </c>
      <c r="B464" s="878"/>
      <c r="C464" s="879"/>
      <c r="D464" s="873"/>
      <c r="E464" s="885"/>
      <c r="F464" s="595"/>
      <c r="G464" s="881"/>
      <c r="H464" s="882"/>
      <c r="I464" s="886"/>
      <c r="J464" s="824"/>
      <c r="K464" s="597"/>
      <c r="L464" s="612"/>
      <c r="M464" s="418"/>
    </row>
    <row r="465" spans="1:13" ht="15.5" x14ac:dyDescent="0.35">
      <c r="A465" s="209">
        <v>7</v>
      </c>
      <c r="B465" s="878"/>
      <c r="C465" s="879"/>
      <c r="D465" s="873"/>
      <c r="E465" s="885"/>
      <c r="F465" s="595"/>
      <c r="G465" s="881"/>
      <c r="H465" s="882"/>
      <c r="I465" s="886"/>
      <c r="J465" s="824"/>
      <c r="K465" s="597"/>
      <c r="L465" s="612"/>
      <c r="M465" s="418"/>
    </row>
    <row r="466" spans="1:13" ht="15.5" x14ac:dyDescent="0.35">
      <c r="A466" s="209">
        <v>8</v>
      </c>
      <c r="B466" s="878"/>
      <c r="C466" s="879"/>
      <c r="D466" s="873"/>
      <c r="E466" s="885"/>
      <c r="F466" s="595"/>
      <c r="G466" s="881"/>
      <c r="H466" s="882"/>
      <c r="I466" s="886"/>
      <c r="J466" s="824"/>
      <c r="K466" s="597"/>
      <c r="L466" s="612"/>
      <c r="M466" s="418"/>
    </row>
    <row r="467" spans="1:13" ht="15.5" x14ac:dyDescent="0.35">
      <c r="A467" s="209">
        <v>9</v>
      </c>
      <c r="B467" s="878"/>
      <c r="C467" s="879"/>
      <c r="D467" s="873"/>
      <c r="E467" s="885"/>
      <c r="F467" s="595"/>
      <c r="G467" s="881"/>
      <c r="H467" s="882"/>
      <c r="I467" s="886"/>
      <c r="J467" s="824"/>
      <c r="K467" s="597"/>
      <c r="L467" s="612"/>
      <c r="M467" s="418"/>
    </row>
    <row r="468" spans="1:13" ht="16" thickBot="1" x14ac:dyDescent="0.4">
      <c r="A468" s="214">
        <v>10</v>
      </c>
      <c r="B468" s="878"/>
      <c r="C468" s="884"/>
      <c r="D468" s="873"/>
      <c r="E468" s="880"/>
      <c r="F468" s="595"/>
      <c r="G468" s="21"/>
      <c r="H468" s="887"/>
      <c r="I468" s="888"/>
      <c r="J468" s="824"/>
      <c r="K468" s="597"/>
      <c r="L468" s="612"/>
      <c r="M468" s="328"/>
    </row>
    <row r="469" spans="1:13" ht="16" thickBot="1" x14ac:dyDescent="0.4">
      <c r="A469" s="298" t="s">
        <v>35</v>
      </c>
      <c r="B469" s="407">
        <f>SUM(B459:B468)</f>
        <v>0</v>
      </c>
      <c r="C469" s="407">
        <f>SUM(C459:C468)</f>
        <v>0</v>
      </c>
      <c r="D469" s="407">
        <f>SUM(D459:D468)</f>
        <v>0</v>
      </c>
      <c r="E469" s="407">
        <f>SUM(E459:E468)</f>
        <v>0</v>
      </c>
      <c r="F469" s="598">
        <f>SUM(F459:F468)</f>
        <v>0</v>
      </c>
      <c r="G469" s="582">
        <f t="shared" ref="G469:L469" si="70">SUM(G459:G468)</f>
        <v>0</v>
      </c>
      <c r="H469" s="412">
        <f t="shared" si="70"/>
        <v>0</v>
      </c>
      <c r="I469" s="558">
        <f t="shared" si="70"/>
        <v>0</v>
      </c>
      <c r="J469" s="559">
        <f t="shared" si="70"/>
        <v>0</v>
      </c>
      <c r="K469" s="602">
        <f t="shared" si="70"/>
        <v>0</v>
      </c>
      <c r="L469" s="603">
        <f t="shared" si="70"/>
        <v>0</v>
      </c>
      <c r="M469" s="415">
        <f>SUM(M459:M468)</f>
        <v>0</v>
      </c>
    </row>
    <row r="470" spans="1:13" ht="15.5" x14ac:dyDescent="0.35">
      <c r="A470" s="306">
        <v>11</v>
      </c>
      <c r="B470" s="878"/>
      <c r="C470" s="884"/>
      <c r="D470" s="873"/>
      <c r="E470" s="880"/>
      <c r="F470" s="604"/>
      <c r="G470" s="889"/>
      <c r="H470" s="890"/>
      <c r="I470" s="891"/>
      <c r="J470" s="824"/>
      <c r="K470" s="597"/>
      <c r="L470" s="612"/>
      <c r="M470" s="401"/>
    </row>
    <row r="471" spans="1:13" ht="15.5" x14ac:dyDescent="0.35">
      <c r="A471" s="209">
        <v>12</v>
      </c>
      <c r="B471" s="878"/>
      <c r="C471" s="879"/>
      <c r="D471" s="873"/>
      <c r="E471" s="885"/>
      <c r="F471" s="604"/>
      <c r="G471" s="881"/>
      <c r="H471" s="882"/>
      <c r="I471" s="883"/>
      <c r="J471" s="824"/>
      <c r="K471" s="597"/>
      <c r="L471" s="612"/>
      <c r="M471" s="418"/>
    </row>
    <row r="472" spans="1:13" ht="15.5" x14ac:dyDescent="0.35">
      <c r="A472" s="209">
        <v>13</v>
      </c>
      <c r="B472" s="878"/>
      <c r="C472" s="879"/>
      <c r="D472" s="873"/>
      <c r="E472" s="885"/>
      <c r="F472" s="604"/>
      <c r="G472" s="881"/>
      <c r="H472" s="882"/>
      <c r="I472" s="883"/>
      <c r="J472" s="824"/>
      <c r="K472" s="597"/>
      <c r="L472" s="612"/>
      <c r="M472" s="418"/>
    </row>
    <row r="473" spans="1:13" ht="15.5" x14ac:dyDescent="0.35">
      <c r="A473" s="209">
        <v>14</v>
      </c>
      <c r="B473" s="878"/>
      <c r="C473" s="879"/>
      <c r="D473" s="873"/>
      <c r="E473" s="885"/>
      <c r="F473" s="604"/>
      <c r="G473" s="881"/>
      <c r="H473" s="882"/>
      <c r="I473" s="883"/>
      <c r="J473" s="824"/>
      <c r="K473" s="597"/>
      <c r="L473" s="612"/>
      <c r="M473" s="418"/>
    </row>
    <row r="474" spans="1:13" ht="15.5" x14ac:dyDescent="0.35">
      <c r="A474" s="209">
        <v>15</v>
      </c>
      <c r="B474" s="878"/>
      <c r="C474" s="879"/>
      <c r="D474" s="873"/>
      <c r="E474" s="885"/>
      <c r="F474" s="604"/>
      <c r="G474" s="881"/>
      <c r="H474" s="882"/>
      <c r="I474" s="883"/>
      <c r="J474" s="824"/>
      <c r="K474" s="597"/>
      <c r="L474" s="612"/>
      <c r="M474" s="418"/>
    </row>
    <row r="475" spans="1:13" ht="15.5" x14ac:dyDescent="0.35">
      <c r="A475" s="209">
        <v>16</v>
      </c>
      <c r="B475" s="878"/>
      <c r="C475" s="879"/>
      <c r="D475" s="873"/>
      <c r="E475" s="885"/>
      <c r="F475" s="604"/>
      <c r="G475" s="881"/>
      <c r="H475" s="882"/>
      <c r="I475" s="883"/>
      <c r="J475" s="824"/>
      <c r="K475" s="597"/>
      <c r="L475" s="612"/>
      <c r="M475" s="418"/>
    </row>
    <row r="476" spans="1:13" ht="15.5" x14ac:dyDescent="0.35">
      <c r="A476" s="223">
        <v>17</v>
      </c>
      <c r="B476" s="878"/>
      <c r="C476" s="884"/>
      <c r="D476" s="873"/>
      <c r="E476" s="885"/>
      <c r="F476" s="604"/>
      <c r="G476" s="881"/>
      <c r="H476" s="882"/>
      <c r="I476" s="883"/>
      <c r="J476" s="824"/>
      <c r="K476" s="597"/>
      <c r="L476" s="612"/>
      <c r="M476" s="418"/>
    </row>
    <row r="477" spans="1:13" ht="15.5" x14ac:dyDescent="0.35">
      <c r="A477" s="223">
        <v>18</v>
      </c>
      <c r="B477" s="878"/>
      <c r="C477" s="884"/>
      <c r="D477" s="873"/>
      <c r="E477" s="885"/>
      <c r="F477" s="604"/>
      <c r="G477" s="881"/>
      <c r="H477" s="882"/>
      <c r="I477" s="883"/>
      <c r="J477" s="824"/>
      <c r="K477" s="597"/>
      <c r="L477" s="612"/>
      <c r="M477" s="418"/>
    </row>
    <row r="478" spans="1:13" ht="15.5" x14ac:dyDescent="0.35">
      <c r="A478" s="223">
        <v>19</v>
      </c>
      <c r="B478" s="878"/>
      <c r="C478" s="884"/>
      <c r="D478" s="873"/>
      <c r="E478" s="880"/>
      <c r="F478" s="604"/>
      <c r="G478" s="881"/>
      <c r="H478" s="882"/>
      <c r="I478" s="886"/>
      <c r="J478" s="824"/>
      <c r="K478" s="597"/>
      <c r="L478" s="612"/>
      <c r="M478" s="418"/>
    </row>
    <row r="479" spans="1:13" ht="16" thickBot="1" x14ac:dyDescent="0.4">
      <c r="A479" s="311">
        <v>20</v>
      </c>
      <c r="B479" s="878"/>
      <c r="C479" s="884"/>
      <c r="D479" s="873"/>
      <c r="E479" s="885"/>
      <c r="F479" s="604"/>
      <c r="G479" s="892"/>
      <c r="H479" s="893"/>
      <c r="I479" s="894"/>
      <c r="J479" s="824"/>
      <c r="K479" s="597"/>
      <c r="L479" s="612"/>
      <c r="M479" s="328"/>
    </row>
    <row r="480" spans="1:13" ht="16" thickBot="1" x14ac:dyDescent="0.4">
      <c r="A480" s="298" t="s">
        <v>35</v>
      </c>
      <c r="B480" s="407">
        <f t="shared" ref="B480:L480" si="71">SUM(B470:B479)</f>
        <v>0</v>
      </c>
      <c r="C480" s="407">
        <f t="shared" si="71"/>
        <v>0</v>
      </c>
      <c r="D480" s="407">
        <f t="shared" si="71"/>
        <v>0</v>
      </c>
      <c r="E480" s="407">
        <f t="shared" si="71"/>
        <v>0</v>
      </c>
      <c r="F480" s="598">
        <f t="shared" si="71"/>
        <v>0</v>
      </c>
      <c r="G480" s="582">
        <f t="shared" si="71"/>
        <v>0</v>
      </c>
      <c r="H480" s="412">
        <f t="shared" si="71"/>
        <v>0</v>
      </c>
      <c r="I480" s="558">
        <f t="shared" si="71"/>
        <v>0</v>
      </c>
      <c r="J480" s="559">
        <f t="shared" si="71"/>
        <v>0</v>
      </c>
      <c r="K480" s="602">
        <f t="shared" si="71"/>
        <v>0</v>
      </c>
      <c r="L480" s="603">
        <f t="shared" si="71"/>
        <v>0</v>
      </c>
      <c r="M480" s="415">
        <f>SUM(M470:M479)</f>
        <v>0</v>
      </c>
    </row>
    <row r="481" spans="1:13" ht="15.5" x14ac:dyDescent="0.35">
      <c r="A481" s="316">
        <v>21</v>
      </c>
      <c r="B481" s="878"/>
      <c r="C481" s="884"/>
      <c r="D481" s="873"/>
      <c r="E481" s="885"/>
      <c r="F481" s="595"/>
      <c r="G481" s="889"/>
      <c r="H481" s="890"/>
      <c r="I481" s="891"/>
      <c r="J481" s="824"/>
      <c r="K481" s="597"/>
      <c r="L481" s="612"/>
      <c r="M481" s="401"/>
    </row>
    <row r="482" spans="1:13" ht="15.5" x14ac:dyDescent="0.35">
      <c r="A482" s="223">
        <v>22</v>
      </c>
      <c r="B482" s="878"/>
      <c r="C482" s="884"/>
      <c r="D482" s="873"/>
      <c r="E482" s="885"/>
      <c r="F482" s="595"/>
      <c r="G482" s="881"/>
      <c r="H482" s="882"/>
      <c r="I482" s="886"/>
      <c r="J482" s="824"/>
      <c r="K482" s="597"/>
      <c r="L482" s="612"/>
      <c r="M482" s="418"/>
    </row>
    <row r="483" spans="1:13" ht="15.5" x14ac:dyDescent="0.35">
      <c r="A483" s="223">
        <v>23</v>
      </c>
      <c r="B483" s="878"/>
      <c r="C483" s="884"/>
      <c r="D483" s="873"/>
      <c r="E483" s="880"/>
      <c r="F483" s="595"/>
      <c r="G483" s="881"/>
      <c r="H483" s="882"/>
      <c r="I483" s="886"/>
      <c r="J483" s="824"/>
      <c r="K483" s="597"/>
      <c r="L483" s="612"/>
      <c r="M483" s="418"/>
    </row>
    <row r="484" spans="1:13" ht="15.5" x14ac:dyDescent="0.35">
      <c r="A484" s="223">
        <v>24</v>
      </c>
      <c r="B484" s="878"/>
      <c r="C484" s="884"/>
      <c r="D484" s="873"/>
      <c r="E484" s="885"/>
      <c r="F484" s="595"/>
      <c r="G484" s="881"/>
      <c r="H484" s="882"/>
      <c r="I484" s="886"/>
      <c r="J484" s="824"/>
      <c r="K484" s="597"/>
      <c r="L484" s="612"/>
      <c r="M484" s="418"/>
    </row>
    <row r="485" spans="1:13" ht="15.5" x14ac:dyDescent="0.35">
      <c r="A485" s="223">
        <v>25</v>
      </c>
      <c r="B485" s="878"/>
      <c r="C485" s="884"/>
      <c r="D485" s="873"/>
      <c r="E485" s="885"/>
      <c r="F485" s="595"/>
      <c r="G485" s="881"/>
      <c r="H485" s="882"/>
      <c r="I485" s="886"/>
      <c r="J485" s="824"/>
      <c r="K485" s="597"/>
      <c r="L485" s="612"/>
      <c r="M485" s="418"/>
    </row>
    <row r="486" spans="1:13" ht="15.5" x14ac:dyDescent="0.35">
      <c r="A486" s="223">
        <v>26</v>
      </c>
      <c r="B486" s="878"/>
      <c r="C486" s="884"/>
      <c r="D486" s="873"/>
      <c r="E486" s="880"/>
      <c r="F486" s="595"/>
      <c r="G486" s="895"/>
      <c r="H486" s="882"/>
      <c r="I486" s="883"/>
      <c r="J486" s="824"/>
      <c r="K486" s="597"/>
      <c r="L486" s="612"/>
      <c r="M486" s="418"/>
    </row>
    <row r="487" spans="1:13" ht="15.5" x14ac:dyDescent="0.35">
      <c r="A487" s="223">
        <v>27</v>
      </c>
      <c r="B487" s="878"/>
      <c r="C487" s="884"/>
      <c r="D487" s="873"/>
      <c r="E487" s="880"/>
      <c r="F487" s="595"/>
      <c r="G487" s="895"/>
      <c r="H487" s="882"/>
      <c r="I487" s="883"/>
      <c r="J487" s="824"/>
      <c r="K487" s="597"/>
      <c r="L487" s="612"/>
      <c r="M487" s="418"/>
    </row>
    <row r="488" spans="1:13" ht="15.5" x14ac:dyDescent="0.35">
      <c r="A488" s="223">
        <v>28</v>
      </c>
      <c r="B488" s="878"/>
      <c r="C488" s="884"/>
      <c r="D488" s="873"/>
      <c r="E488" s="880"/>
      <c r="F488" s="605"/>
      <c r="G488" s="895"/>
      <c r="H488" s="882"/>
      <c r="I488" s="883"/>
      <c r="J488" s="824"/>
      <c r="K488" s="597"/>
      <c r="L488" s="612"/>
      <c r="M488" s="418"/>
    </row>
    <row r="489" spans="1:13" ht="15.5" x14ac:dyDescent="0.35">
      <c r="A489" s="223">
        <v>29</v>
      </c>
      <c r="B489" s="878"/>
      <c r="C489" s="884"/>
      <c r="D489" s="873"/>
      <c r="E489" s="880"/>
      <c r="F489" s="605"/>
      <c r="G489" s="895"/>
      <c r="H489" s="882"/>
      <c r="I489" s="883"/>
      <c r="J489" s="824"/>
      <c r="K489" s="597"/>
      <c r="L489" s="612"/>
      <c r="M489" s="418"/>
    </row>
    <row r="490" spans="1:13" ht="15.5" x14ac:dyDescent="0.35">
      <c r="A490" s="223">
        <v>30</v>
      </c>
      <c r="B490" s="878"/>
      <c r="C490" s="884"/>
      <c r="D490" s="873"/>
      <c r="E490" s="880"/>
      <c r="F490" s="605"/>
      <c r="G490" s="895"/>
      <c r="H490" s="882"/>
      <c r="I490" s="883"/>
      <c r="J490" s="824"/>
      <c r="K490" s="597"/>
      <c r="L490" s="612"/>
      <c r="M490" s="418"/>
    </row>
    <row r="491" spans="1:13" ht="16" thickBot="1" x14ac:dyDescent="0.4">
      <c r="A491" s="226">
        <v>31</v>
      </c>
      <c r="B491" s="419"/>
      <c r="C491" s="606"/>
      <c r="D491" s="607"/>
      <c r="E491" s="565"/>
      <c r="F491" s="608"/>
      <c r="G491" s="609"/>
      <c r="H491" s="610"/>
      <c r="I491" s="325"/>
      <c r="J491" s="611"/>
      <c r="K491" s="597"/>
      <c r="L491" s="612"/>
      <c r="M491" s="428"/>
    </row>
    <row r="492" spans="1:13" ht="16" thickBot="1" x14ac:dyDescent="0.4">
      <c r="A492" s="406" t="s">
        <v>35</v>
      </c>
      <c r="B492" s="569">
        <f>SUM(B481:B491)</f>
        <v>0</v>
      </c>
      <c r="C492" s="569">
        <f>SUM(C481:C491)</f>
        <v>0</v>
      </c>
      <c r="D492" s="569">
        <f>SUM(D481:D491)</f>
        <v>0</v>
      </c>
      <c r="E492" s="569">
        <f>SUM(E481:E491)</f>
        <v>0</v>
      </c>
      <c r="F492" s="613">
        <f>SUM(F481:F491)</f>
        <v>0</v>
      </c>
      <c r="G492" s="614">
        <f t="shared" ref="G492:L492" si="72">SUM(G481:G491)</f>
        <v>0</v>
      </c>
      <c r="H492" s="615">
        <f t="shared" si="72"/>
        <v>0</v>
      </c>
      <c r="I492" s="616">
        <f t="shared" si="72"/>
        <v>0</v>
      </c>
      <c r="J492" s="617">
        <f t="shared" si="72"/>
        <v>0</v>
      </c>
      <c r="K492" s="602">
        <f t="shared" si="72"/>
        <v>0</v>
      </c>
      <c r="L492" s="603">
        <f t="shared" si="72"/>
        <v>0</v>
      </c>
      <c r="M492" s="618">
        <f>SUM(M481:M491)</f>
        <v>0</v>
      </c>
    </row>
    <row r="493" spans="1:13" ht="16" thickBot="1" x14ac:dyDescent="0.4">
      <c r="A493" s="186" t="s">
        <v>36</v>
      </c>
      <c r="B493" s="571">
        <f>(B492+B480+B469)</f>
        <v>0</v>
      </c>
      <c r="C493" s="571">
        <f t="shared" ref="C493:L493" si="73">(C492+C480+C469)</f>
        <v>0</v>
      </c>
      <c r="D493" s="571">
        <f t="shared" si="73"/>
        <v>0</v>
      </c>
      <c r="E493" s="571">
        <f t="shared" si="73"/>
        <v>0</v>
      </c>
      <c r="F493" s="585">
        <f t="shared" si="73"/>
        <v>0</v>
      </c>
      <c r="G493" s="587">
        <f t="shared" si="73"/>
        <v>0</v>
      </c>
      <c r="H493" s="619">
        <f t="shared" si="73"/>
        <v>0</v>
      </c>
      <c r="I493" s="620">
        <f t="shared" si="73"/>
        <v>0</v>
      </c>
      <c r="J493" s="621">
        <f t="shared" si="73"/>
        <v>0</v>
      </c>
      <c r="K493" s="622">
        <f t="shared" si="73"/>
        <v>0</v>
      </c>
      <c r="L493" s="623">
        <f t="shared" si="73"/>
        <v>0</v>
      </c>
      <c r="M493" s="586">
        <f>M492+M480+M469</f>
        <v>0</v>
      </c>
    </row>
    <row r="494" spans="1:13" ht="16" thickBot="1" x14ac:dyDescent="0.4">
      <c r="A494" s="192" t="s">
        <v>19</v>
      </c>
      <c r="B494" s="587">
        <f>B493/30</f>
        <v>0</v>
      </c>
      <c r="C494" s="587">
        <f t="shared" ref="C494:E494" si="74">C493/30</f>
        <v>0</v>
      </c>
      <c r="D494" s="587">
        <f t="shared" si="74"/>
        <v>0</v>
      </c>
      <c r="E494" s="587">
        <f t="shared" si="74"/>
        <v>0</v>
      </c>
      <c r="F494" s="336" t="s">
        <v>70</v>
      </c>
      <c r="G494" s="624">
        <f>G493/30</f>
        <v>0</v>
      </c>
      <c r="H494" s="625">
        <f t="shared" ref="H494:I494" si="75">H493/30</f>
        <v>0</v>
      </c>
      <c r="I494" s="626">
        <f t="shared" si="75"/>
        <v>0</v>
      </c>
      <c r="J494" s="627">
        <f>J493/30</f>
        <v>0</v>
      </c>
      <c r="K494" s="628"/>
      <c r="L494" s="629"/>
      <c r="M494" s="630"/>
    </row>
    <row r="495" spans="1:13" ht="15" thickBot="1" x14ac:dyDescent="0.4">
      <c r="F495" s="4"/>
      <c r="G495" s="4"/>
      <c r="H495" s="4"/>
      <c r="I495" s="4"/>
      <c r="J495" s="4"/>
      <c r="K495" s="4"/>
      <c r="L495" s="4"/>
      <c r="M495" s="4"/>
    </row>
    <row r="496" spans="1:13" ht="16" thickBot="1" x14ac:dyDescent="0.4">
      <c r="A496" s="1" t="s">
        <v>0</v>
      </c>
      <c r="B496" s="2"/>
      <c r="C496" s="2"/>
      <c r="D496" s="2"/>
      <c r="E496" s="2"/>
      <c r="F496" s="3"/>
      <c r="G496" s="4"/>
      <c r="H496" s="4"/>
      <c r="I496" s="4"/>
      <c r="J496" s="4"/>
      <c r="K496" s="4"/>
      <c r="L496" s="4"/>
      <c r="M496" s="4"/>
    </row>
    <row r="497" spans="1:13" ht="15.5" x14ac:dyDescent="0.35">
      <c r="A497" s="5" t="s">
        <v>2</v>
      </c>
      <c r="B497" s="6"/>
      <c r="C497" s="6"/>
      <c r="D497" s="6"/>
      <c r="E497" s="6"/>
      <c r="F497" s="7"/>
      <c r="G497" s="4"/>
      <c r="H497" s="4"/>
      <c r="I497" s="1" t="s">
        <v>56</v>
      </c>
      <c r="J497" s="2"/>
      <c r="K497" s="2"/>
      <c r="L497" s="2"/>
      <c r="M497" s="8"/>
    </row>
    <row r="498" spans="1:13" ht="15.5" x14ac:dyDescent="0.35">
      <c r="A498" s="5" t="s">
        <v>4</v>
      </c>
      <c r="B498" s="6"/>
      <c r="C498" s="6"/>
      <c r="D498" s="6"/>
      <c r="E498" s="6"/>
      <c r="F498" s="7"/>
      <c r="G498" s="4"/>
      <c r="H498" s="4"/>
      <c r="I498" s="5" t="s">
        <v>61</v>
      </c>
      <c r="J498" s="6"/>
      <c r="K498" s="6"/>
      <c r="L498" s="9"/>
      <c r="M498" s="344"/>
    </row>
    <row r="499" spans="1:13" ht="16" thickBot="1" x14ac:dyDescent="0.4">
      <c r="A499" s="11" t="s">
        <v>6</v>
      </c>
      <c r="B499" s="12"/>
      <c r="C499" s="12"/>
      <c r="D499" s="12"/>
      <c r="E499" s="12"/>
      <c r="F499" s="13"/>
      <c r="G499" s="4"/>
      <c r="H499" s="4"/>
      <c r="I499" s="11" t="s">
        <v>7</v>
      </c>
      <c r="J499" s="12"/>
      <c r="K499" s="12"/>
      <c r="L499" s="345" t="s">
        <v>60</v>
      </c>
      <c r="M499" s="346"/>
    </row>
    <row r="500" spans="1:13" ht="26" thickBot="1" x14ac:dyDescent="0.65">
      <c r="A500" s="17" t="s">
        <v>39</v>
      </c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5" thickBot="1" x14ac:dyDescent="0.4">
      <c r="A501" s="915" t="s">
        <v>10</v>
      </c>
      <c r="B501" s="930" t="s">
        <v>11</v>
      </c>
      <c r="C501" s="931"/>
      <c r="D501" s="931"/>
      <c r="E501" s="932"/>
      <c r="F501" s="132" t="s">
        <v>12</v>
      </c>
      <c r="G501" s="356" t="s">
        <v>13</v>
      </c>
      <c r="H501" s="348"/>
      <c r="I501" s="349"/>
      <c r="J501" s="132" t="s">
        <v>14</v>
      </c>
      <c r="K501" s="918" t="s">
        <v>15</v>
      </c>
      <c r="L501" s="920"/>
      <c r="M501" s="132" t="s">
        <v>16</v>
      </c>
    </row>
    <row r="502" spans="1:13" ht="15" thickBot="1" x14ac:dyDescent="0.4">
      <c r="A502" s="916"/>
      <c r="B502" s="438" t="s">
        <v>17</v>
      </c>
      <c r="C502" s="143" t="s">
        <v>18</v>
      </c>
      <c r="D502" s="143" t="s">
        <v>19</v>
      </c>
      <c r="E502" s="201" t="s">
        <v>18</v>
      </c>
      <c r="F502" s="138" t="s">
        <v>20</v>
      </c>
      <c r="G502" s="350" t="s">
        <v>21</v>
      </c>
      <c r="H502" s="149"/>
      <c r="I502" s="351"/>
      <c r="J502" s="139" t="s">
        <v>22</v>
      </c>
      <c r="K502" s="138" t="s">
        <v>23</v>
      </c>
      <c r="L502" s="139"/>
      <c r="M502" s="140" t="s">
        <v>24</v>
      </c>
    </row>
    <row r="503" spans="1:13" ht="15" thickBot="1" x14ac:dyDescent="0.4">
      <c r="A503" s="917"/>
      <c r="B503" s="353" t="s">
        <v>25</v>
      </c>
      <c r="C503" s="354" t="s">
        <v>25</v>
      </c>
      <c r="D503" s="354"/>
      <c r="E503" s="347" t="s">
        <v>26</v>
      </c>
      <c r="F503" s="350" t="s">
        <v>27</v>
      </c>
      <c r="G503" s="357" t="s">
        <v>28</v>
      </c>
      <c r="H503" s="354" t="s">
        <v>29</v>
      </c>
      <c r="I503" s="355" t="s">
        <v>30</v>
      </c>
      <c r="J503" s="351" t="s">
        <v>31</v>
      </c>
      <c r="K503" s="631" t="s">
        <v>32</v>
      </c>
      <c r="L503" s="593" t="s">
        <v>33</v>
      </c>
      <c r="M503" s="484" t="s">
        <v>34</v>
      </c>
    </row>
    <row r="504" spans="1:13" ht="15.5" x14ac:dyDescent="0.35">
      <c r="A504" s="896">
        <v>1</v>
      </c>
      <c r="B504" s="596"/>
      <c r="C504" s="897"/>
      <c r="D504" s="633"/>
      <c r="E504" s="820"/>
      <c r="F504" s="635"/>
      <c r="G504" s="898"/>
      <c r="H504" s="821"/>
      <c r="I504" s="636"/>
      <c r="J504" s="637"/>
      <c r="K504" s="658"/>
      <c r="L504" s="400"/>
      <c r="M504" s="400"/>
    </row>
    <row r="505" spans="1:13" ht="15.5" x14ac:dyDescent="0.35">
      <c r="A505" s="727">
        <v>2</v>
      </c>
      <c r="B505" s="597"/>
      <c r="C505" s="660"/>
      <c r="D505" s="639"/>
      <c r="E505" s="612"/>
      <c r="F505" s="641"/>
      <c r="G505" s="803"/>
      <c r="H505" s="823"/>
      <c r="I505" s="643"/>
      <c r="J505" s="644"/>
      <c r="K505" s="612"/>
      <c r="L505" s="417"/>
      <c r="M505" s="400"/>
    </row>
    <row r="506" spans="1:13" ht="15.5" x14ac:dyDescent="0.35">
      <c r="A506" s="727">
        <v>3</v>
      </c>
      <c r="B506" s="597"/>
      <c r="C506" s="639"/>
      <c r="D506" s="639"/>
      <c r="E506" s="612"/>
      <c r="F506" s="641"/>
      <c r="G506" s="803"/>
      <c r="H506" s="823"/>
      <c r="I506" s="643"/>
      <c r="J506" s="644"/>
      <c r="K506" s="612"/>
      <c r="L506" s="417"/>
      <c r="M506" s="400"/>
    </row>
    <row r="507" spans="1:13" ht="15.5" x14ac:dyDescent="0.35">
      <c r="A507" s="727">
        <v>4</v>
      </c>
      <c r="B507" s="597"/>
      <c r="C507" s="639"/>
      <c r="D507" s="639"/>
      <c r="E507" s="645"/>
      <c r="F507" s="641"/>
      <c r="G507" s="803"/>
      <c r="H507" s="823"/>
      <c r="I507" s="642"/>
      <c r="J507" s="644"/>
      <c r="K507" s="612"/>
      <c r="L507" s="417"/>
      <c r="M507" s="400"/>
    </row>
    <row r="508" spans="1:13" ht="15.5" x14ac:dyDescent="0.35">
      <c r="A508" s="727">
        <v>5</v>
      </c>
      <c r="B508" s="597"/>
      <c r="C508" s="660"/>
      <c r="D508" s="639"/>
      <c r="E508" s="645"/>
      <c r="F508" s="641"/>
      <c r="G508" s="803"/>
      <c r="H508" s="823"/>
      <c r="I508" s="643"/>
      <c r="J508" s="644"/>
      <c r="K508" s="612"/>
      <c r="L508" s="417"/>
      <c r="M508" s="400"/>
    </row>
    <row r="509" spans="1:13" ht="15.5" x14ac:dyDescent="0.35">
      <c r="A509" s="727">
        <v>6</v>
      </c>
      <c r="B509" s="597"/>
      <c r="C509" s="660"/>
      <c r="D509" s="639"/>
      <c r="E509" s="645"/>
      <c r="F509" s="641"/>
      <c r="G509" s="803"/>
      <c r="H509" s="823"/>
      <c r="I509" s="643"/>
      <c r="J509" s="644"/>
      <c r="K509" s="612"/>
      <c r="L509" s="417"/>
      <c r="M509" s="400"/>
    </row>
    <row r="510" spans="1:13" ht="15.5" x14ac:dyDescent="0.35">
      <c r="A510" s="727">
        <v>7</v>
      </c>
      <c r="B510" s="597"/>
      <c r="C510" s="660"/>
      <c r="D510" s="639"/>
      <c r="E510" s="645"/>
      <c r="F510" s="641"/>
      <c r="G510" s="803"/>
      <c r="H510" s="823"/>
      <c r="I510" s="643"/>
      <c r="J510" s="644"/>
      <c r="K510" s="612"/>
      <c r="L510" s="417"/>
      <c r="M510" s="400"/>
    </row>
    <row r="511" spans="1:13" ht="15.5" x14ac:dyDescent="0.35">
      <c r="A511" s="727">
        <v>8</v>
      </c>
      <c r="B511" s="597"/>
      <c r="C511" s="660"/>
      <c r="D511" s="639"/>
      <c r="E511" s="645"/>
      <c r="F511" s="641"/>
      <c r="G511" s="803"/>
      <c r="H511" s="823"/>
      <c r="I511" s="642"/>
      <c r="J511" s="644"/>
      <c r="K511" s="612"/>
      <c r="L511" s="417"/>
      <c r="M511" s="400"/>
    </row>
    <row r="512" spans="1:13" ht="15.5" x14ac:dyDescent="0.35">
      <c r="A512" s="727">
        <v>9</v>
      </c>
      <c r="B512" s="597"/>
      <c r="C512" s="660"/>
      <c r="D512" s="639"/>
      <c r="E512" s="645"/>
      <c r="F512" s="641"/>
      <c r="G512" s="803"/>
      <c r="H512" s="823"/>
      <c r="I512" s="643"/>
      <c r="J512" s="644"/>
      <c r="K512" s="612"/>
      <c r="L512" s="417"/>
      <c r="M512" s="400"/>
    </row>
    <row r="513" spans="1:13" ht="16" thickBot="1" x14ac:dyDescent="0.4">
      <c r="A513" s="899">
        <v>10</v>
      </c>
      <c r="B513" s="318"/>
      <c r="C513" s="319"/>
      <c r="D513" s="319"/>
      <c r="E513" s="321"/>
      <c r="F513" s="322"/>
      <c r="G513" s="900"/>
      <c r="H513" s="610"/>
      <c r="I513" s="795"/>
      <c r="J513" s="662"/>
      <c r="K513" s="321"/>
      <c r="L513" s="580"/>
      <c r="M513" s="404"/>
    </row>
    <row r="514" spans="1:13" ht="16" thickBot="1" x14ac:dyDescent="0.4">
      <c r="A514" s="901" t="s">
        <v>35</v>
      </c>
      <c r="B514" s="245">
        <f t="shared" ref="B514:L514" si="76">SUM(B504:B513)</f>
        <v>0</v>
      </c>
      <c r="C514" s="649">
        <f t="shared" si="76"/>
        <v>0</v>
      </c>
      <c r="D514" s="649">
        <f t="shared" si="76"/>
        <v>0</v>
      </c>
      <c r="E514" s="246">
        <f t="shared" si="76"/>
        <v>0</v>
      </c>
      <c r="F514" s="650">
        <f t="shared" si="76"/>
        <v>0</v>
      </c>
      <c r="G514" s="651">
        <f t="shared" si="76"/>
        <v>0</v>
      </c>
      <c r="H514" s="652">
        <f t="shared" si="76"/>
        <v>0</v>
      </c>
      <c r="I514" s="333">
        <f t="shared" si="76"/>
        <v>0</v>
      </c>
      <c r="J514" s="653">
        <f t="shared" si="76"/>
        <v>0</v>
      </c>
      <c r="K514" s="330">
        <f t="shared" si="76"/>
        <v>0</v>
      </c>
      <c r="L514" s="654">
        <f t="shared" si="76"/>
        <v>0</v>
      </c>
      <c r="M514" s="334">
        <f>SUM(M504:M513)</f>
        <v>0</v>
      </c>
    </row>
    <row r="515" spans="1:13" ht="15.5" x14ac:dyDescent="0.35">
      <c r="A515" s="725">
        <v>11</v>
      </c>
      <c r="B515" s="656"/>
      <c r="C515" s="640"/>
      <c r="D515" s="640"/>
      <c r="E515" s="658"/>
      <c r="F515" s="635"/>
      <c r="G515" s="902"/>
      <c r="H515" s="830"/>
      <c r="I515" s="788"/>
      <c r="J515" s="903"/>
      <c r="K515" s="658"/>
      <c r="L515" s="400"/>
      <c r="M515" s="400"/>
    </row>
    <row r="516" spans="1:13" ht="15.5" x14ac:dyDescent="0.35">
      <c r="A516" s="727">
        <v>12</v>
      </c>
      <c r="B516" s="597"/>
      <c r="C516" s="660"/>
      <c r="D516" s="639"/>
      <c r="E516" s="645"/>
      <c r="F516" s="641"/>
      <c r="G516" s="803"/>
      <c r="H516" s="823"/>
      <c r="I516" s="643"/>
      <c r="J516" s="644"/>
      <c r="K516" s="658"/>
      <c r="L516" s="417"/>
      <c r="M516" s="400"/>
    </row>
    <row r="517" spans="1:13" ht="15.5" x14ac:dyDescent="0.35">
      <c r="A517" s="727">
        <v>13</v>
      </c>
      <c r="B517" s="597"/>
      <c r="C517" s="660"/>
      <c r="D517" s="639"/>
      <c r="E517" s="645"/>
      <c r="F517" s="641"/>
      <c r="G517" s="803"/>
      <c r="H517" s="823"/>
      <c r="I517" s="643"/>
      <c r="J517" s="644"/>
      <c r="K517" s="658"/>
      <c r="L517" s="417"/>
      <c r="M517" s="400"/>
    </row>
    <row r="518" spans="1:13" ht="15.5" x14ac:dyDescent="0.35">
      <c r="A518" s="727">
        <v>14</v>
      </c>
      <c r="B518" s="597"/>
      <c r="C518" s="660"/>
      <c r="D518" s="639"/>
      <c r="E518" s="645"/>
      <c r="F518" s="641"/>
      <c r="G518" s="803"/>
      <c r="H518" s="823"/>
      <c r="I518" s="643"/>
      <c r="J518" s="644"/>
      <c r="K518" s="658"/>
      <c r="L518" s="417"/>
      <c r="M518" s="400"/>
    </row>
    <row r="519" spans="1:13" ht="15.5" x14ac:dyDescent="0.35">
      <c r="A519" s="727">
        <v>15</v>
      </c>
      <c r="B519" s="597"/>
      <c r="C519" s="660"/>
      <c r="D519" s="639"/>
      <c r="E519" s="645"/>
      <c r="F519" s="641"/>
      <c r="G519" s="803"/>
      <c r="H519" s="823"/>
      <c r="I519" s="643"/>
      <c r="J519" s="644"/>
      <c r="K519" s="658"/>
      <c r="L519" s="417"/>
      <c r="M519" s="400"/>
    </row>
    <row r="520" spans="1:13" ht="15.5" x14ac:dyDescent="0.35">
      <c r="A520" s="727">
        <v>16</v>
      </c>
      <c r="B520" s="597"/>
      <c r="C520" s="660"/>
      <c r="D520" s="639"/>
      <c r="E520" s="645"/>
      <c r="F520" s="641"/>
      <c r="G520" s="803"/>
      <c r="H520" s="823"/>
      <c r="I520" s="643"/>
      <c r="J520" s="644"/>
      <c r="K520" s="658"/>
      <c r="L520" s="417"/>
      <c r="M520" s="400"/>
    </row>
    <row r="521" spans="1:13" ht="15.5" x14ac:dyDescent="0.35">
      <c r="A521" s="727">
        <v>17</v>
      </c>
      <c r="B521" s="597"/>
      <c r="C521" s="639"/>
      <c r="D521" s="639"/>
      <c r="E521" s="645"/>
      <c r="F521" s="635"/>
      <c r="G521" s="803"/>
      <c r="H521" s="823"/>
      <c r="I521" s="643"/>
      <c r="J521" s="644"/>
      <c r="K521" s="658"/>
      <c r="L521" s="417"/>
      <c r="M521" s="400"/>
    </row>
    <row r="522" spans="1:13" ht="15.5" x14ac:dyDescent="0.35">
      <c r="A522" s="727">
        <v>18</v>
      </c>
      <c r="B522" s="597"/>
      <c r="C522" s="639"/>
      <c r="D522" s="639"/>
      <c r="E522" s="612"/>
      <c r="F522" s="635"/>
      <c r="G522" s="803"/>
      <c r="H522" s="823"/>
      <c r="I522" s="643"/>
      <c r="J522" s="644"/>
      <c r="K522" s="658"/>
      <c r="L522" s="417"/>
      <c r="M522" s="400"/>
    </row>
    <row r="523" spans="1:13" ht="15.5" x14ac:dyDescent="0.35">
      <c r="A523" s="727">
        <v>19</v>
      </c>
      <c r="B523" s="597"/>
      <c r="C523" s="639"/>
      <c r="D523" s="639"/>
      <c r="E523" s="645"/>
      <c r="F523" s="635"/>
      <c r="G523" s="803"/>
      <c r="H523" s="823"/>
      <c r="I523" s="643"/>
      <c r="J523" s="644"/>
      <c r="K523" s="658"/>
      <c r="L523" s="417"/>
      <c r="M523" s="400"/>
    </row>
    <row r="524" spans="1:13" ht="16" thickBot="1" x14ac:dyDescent="0.4">
      <c r="A524" s="899">
        <v>20</v>
      </c>
      <c r="B524" s="318"/>
      <c r="C524" s="319"/>
      <c r="D524" s="319"/>
      <c r="E524" s="904"/>
      <c r="F524" s="124"/>
      <c r="G524" s="900"/>
      <c r="H524" s="610"/>
      <c r="I524" s="795"/>
      <c r="J524" s="662"/>
      <c r="K524" s="327"/>
      <c r="L524" s="580"/>
      <c r="M524" s="404"/>
    </row>
    <row r="525" spans="1:13" ht="16" thickBot="1" x14ac:dyDescent="0.4">
      <c r="A525" s="901" t="s">
        <v>35</v>
      </c>
      <c r="B525" s="245">
        <f t="shared" ref="B525:L525" si="77">SUM(B515:B524)</f>
        <v>0</v>
      </c>
      <c r="C525" s="649">
        <f t="shared" si="77"/>
        <v>0</v>
      </c>
      <c r="D525" s="649">
        <f t="shared" si="77"/>
        <v>0</v>
      </c>
      <c r="E525" s="246">
        <f t="shared" si="77"/>
        <v>0</v>
      </c>
      <c r="F525" s="650">
        <f t="shared" si="77"/>
        <v>0</v>
      </c>
      <c r="G525" s="651">
        <f t="shared" si="77"/>
        <v>0</v>
      </c>
      <c r="H525" s="652">
        <f t="shared" si="77"/>
        <v>0</v>
      </c>
      <c r="I525" s="333">
        <f t="shared" si="77"/>
        <v>0</v>
      </c>
      <c r="J525" s="653">
        <f t="shared" si="77"/>
        <v>0</v>
      </c>
      <c r="K525" s="330">
        <f t="shared" si="77"/>
        <v>0</v>
      </c>
      <c r="L525" s="654">
        <f t="shared" si="77"/>
        <v>0</v>
      </c>
      <c r="M525" s="334">
        <f>SUM(M515:M524)</f>
        <v>0</v>
      </c>
    </row>
    <row r="526" spans="1:13" ht="15.5" x14ac:dyDescent="0.35">
      <c r="A526" s="725">
        <v>21</v>
      </c>
      <c r="B526" s="656"/>
      <c r="C526" s="640"/>
      <c r="D526" s="640"/>
      <c r="E526" s="769"/>
      <c r="F526" s="635"/>
      <c r="G526" s="902"/>
      <c r="H526" s="830"/>
      <c r="I526" s="788"/>
      <c r="J526" s="903"/>
      <c r="K526" s="658"/>
      <c r="L526" s="400"/>
      <c r="M526" s="400"/>
    </row>
    <row r="527" spans="1:13" ht="15.5" x14ac:dyDescent="0.35">
      <c r="A527" s="727">
        <v>22</v>
      </c>
      <c r="B527" s="597"/>
      <c r="C527" s="639"/>
      <c r="D527" s="639"/>
      <c r="E527" s="612"/>
      <c r="F527" s="635"/>
      <c r="G527" s="803"/>
      <c r="H527" s="823"/>
      <c r="I527" s="642"/>
      <c r="J527" s="644"/>
      <c r="K527" s="658"/>
      <c r="L527" s="417"/>
      <c r="M527" s="400"/>
    </row>
    <row r="528" spans="1:13" ht="15.5" x14ac:dyDescent="0.35">
      <c r="A528" s="727">
        <v>23</v>
      </c>
      <c r="B528" s="597"/>
      <c r="C528" s="639"/>
      <c r="D528" s="639"/>
      <c r="E528" s="645"/>
      <c r="F528" s="635"/>
      <c r="G528" s="803"/>
      <c r="H528" s="823"/>
      <c r="I528" s="643"/>
      <c r="J528" s="644"/>
      <c r="K528" s="658"/>
      <c r="L528" s="417"/>
      <c r="M528" s="400"/>
    </row>
    <row r="529" spans="1:13" ht="15.5" x14ac:dyDescent="0.35">
      <c r="A529" s="727">
        <v>24</v>
      </c>
      <c r="B529" s="597"/>
      <c r="C529" s="639"/>
      <c r="D529" s="639"/>
      <c r="E529" s="645"/>
      <c r="F529" s="635"/>
      <c r="G529" s="803"/>
      <c r="H529" s="823"/>
      <c r="I529" s="643"/>
      <c r="J529" s="644"/>
      <c r="K529" s="658"/>
      <c r="L529" s="417"/>
      <c r="M529" s="400"/>
    </row>
    <row r="530" spans="1:13" ht="15.5" x14ac:dyDescent="0.35">
      <c r="A530" s="727">
        <v>25</v>
      </c>
      <c r="B530" s="597"/>
      <c r="C530" s="639"/>
      <c r="D530" s="639"/>
      <c r="E530" s="612"/>
      <c r="F530" s="635"/>
      <c r="G530" s="803"/>
      <c r="H530" s="823"/>
      <c r="I530" s="643"/>
      <c r="J530" s="644"/>
      <c r="K530" s="658"/>
      <c r="L530" s="417"/>
      <c r="M530" s="400"/>
    </row>
    <row r="531" spans="1:13" ht="15.5" x14ac:dyDescent="0.35">
      <c r="A531" s="727">
        <v>26</v>
      </c>
      <c r="B531" s="597"/>
      <c r="C531" s="639"/>
      <c r="D531" s="639"/>
      <c r="E531" s="612"/>
      <c r="F531" s="635"/>
      <c r="G531" s="866"/>
      <c r="H531" s="823"/>
      <c r="I531" s="643"/>
      <c r="J531" s="644"/>
      <c r="K531" s="658"/>
      <c r="L531" s="417"/>
      <c r="M531" s="400"/>
    </row>
    <row r="532" spans="1:13" ht="15.5" x14ac:dyDescent="0.35">
      <c r="A532" s="727">
        <v>27</v>
      </c>
      <c r="B532" s="597"/>
      <c r="C532" s="639"/>
      <c r="D532" s="639"/>
      <c r="E532" s="612"/>
      <c r="F532" s="635"/>
      <c r="G532" s="866"/>
      <c r="H532" s="823"/>
      <c r="I532" s="643"/>
      <c r="J532" s="644"/>
      <c r="K532" s="658"/>
      <c r="L532" s="417"/>
      <c r="M532" s="400"/>
    </row>
    <row r="533" spans="1:13" ht="15.5" x14ac:dyDescent="0.35">
      <c r="A533" s="727">
        <v>28</v>
      </c>
      <c r="B533" s="597"/>
      <c r="C533" s="639"/>
      <c r="D533" s="639"/>
      <c r="E533" s="612"/>
      <c r="F533" s="635"/>
      <c r="G533" s="866"/>
      <c r="H533" s="823"/>
      <c r="I533" s="643"/>
      <c r="J533" s="644"/>
      <c r="K533" s="658"/>
      <c r="L533" s="417"/>
      <c r="M533" s="400"/>
    </row>
    <row r="534" spans="1:13" ht="15.5" x14ac:dyDescent="0.35">
      <c r="A534" s="727">
        <v>29</v>
      </c>
      <c r="B534" s="597"/>
      <c r="C534" s="639"/>
      <c r="D534" s="639"/>
      <c r="E534" s="612"/>
      <c r="F534" s="635"/>
      <c r="G534" s="866"/>
      <c r="H534" s="823"/>
      <c r="I534" s="643"/>
      <c r="J534" s="644"/>
      <c r="K534" s="658"/>
      <c r="L534" s="417"/>
      <c r="M534" s="400"/>
    </row>
    <row r="535" spans="1:13" ht="15.5" x14ac:dyDescent="0.35">
      <c r="A535" s="727">
        <v>30</v>
      </c>
      <c r="B535" s="597"/>
      <c r="C535" s="639"/>
      <c r="D535" s="639"/>
      <c r="E535" s="612"/>
      <c r="F535" s="635"/>
      <c r="G535" s="866"/>
      <c r="H535" s="823"/>
      <c r="I535" s="643"/>
      <c r="J535" s="644"/>
      <c r="K535" s="658"/>
      <c r="L535" s="417"/>
      <c r="M535" s="400"/>
    </row>
    <row r="536" spans="1:13" ht="16" thickBot="1" x14ac:dyDescent="0.4">
      <c r="A536" s="899">
        <v>31</v>
      </c>
      <c r="B536" s="419"/>
      <c r="C536" s="606"/>
      <c r="D536" s="606"/>
      <c r="E536" s="565"/>
      <c r="F536" s="124"/>
      <c r="G536" s="784"/>
      <c r="H536" s="562"/>
      <c r="I536" s="808"/>
      <c r="J536" s="905"/>
      <c r="K536" s="639"/>
      <c r="L536" s="417"/>
      <c r="M536" s="404"/>
    </row>
    <row r="537" spans="1:13" ht="16" thickBot="1" x14ac:dyDescent="0.4">
      <c r="A537" s="906" t="s">
        <v>35</v>
      </c>
      <c r="B537" s="382">
        <f>SUM(B526:B536)</f>
        <v>0</v>
      </c>
      <c r="C537" s="382">
        <f>SUM(C526:C536)</f>
        <v>0</v>
      </c>
      <c r="D537" s="382">
        <f>SUM(D526:D536)</f>
        <v>0</v>
      </c>
      <c r="E537" s="382">
        <f>SUM(E526:E536)</f>
        <v>0</v>
      </c>
      <c r="F537" s="330">
        <v>0</v>
      </c>
      <c r="G537" s="384">
        <f t="shared" ref="G537:L537" si="78">SUM(G526:G536)</f>
        <v>0</v>
      </c>
      <c r="H537" s="384">
        <f t="shared" si="78"/>
        <v>0</v>
      </c>
      <c r="I537" s="385">
        <f t="shared" si="78"/>
        <v>0</v>
      </c>
      <c r="J537" s="653">
        <f t="shared" si="78"/>
        <v>0</v>
      </c>
      <c r="K537" s="245">
        <f t="shared" si="78"/>
        <v>0</v>
      </c>
      <c r="L537" s="245">
        <f t="shared" si="78"/>
        <v>0</v>
      </c>
      <c r="M537" s="334">
        <f>SUM(M526:M536)</f>
        <v>0</v>
      </c>
    </row>
    <row r="538" spans="1:13" ht="16" thickBot="1" x14ac:dyDescent="0.4">
      <c r="A538" s="907" t="s">
        <v>36</v>
      </c>
      <c r="B538" s="433">
        <f>+(B537+B525+B514)</f>
        <v>0</v>
      </c>
      <c r="C538" s="433">
        <f t="shared" ref="C538:M538" si="79">+(C537+C525+C514)</f>
        <v>0</v>
      </c>
      <c r="D538" s="433">
        <f t="shared" si="79"/>
        <v>0</v>
      </c>
      <c r="E538" s="433">
        <f t="shared" si="79"/>
        <v>0</v>
      </c>
      <c r="F538" s="433">
        <f t="shared" si="79"/>
        <v>0</v>
      </c>
      <c r="G538" s="433">
        <f t="shared" si="79"/>
        <v>0</v>
      </c>
      <c r="H538" s="433">
        <f t="shared" si="79"/>
        <v>0</v>
      </c>
      <c r="I538" s="433">
        <f t="shared" si="79"/>
        <v>0</v>
      </c>
      <c r="J538" s="433">
        <f t="shared" si="79"/>
        <v>0</v>
      </c>
      <c r="K538" s="433">
        <f t="shared" si="79"/>
        <v>0</v>
      </c>
      <c r="L538" s="433">
        <f t="shared" si="79"/>
        <v>0</v>
      </c>
      <c r="M538" s="433">
        <f t="shared" si="79"/>
        <v>0</v>
      </c>
    </row>
    <row r="539" spans="1:13" ht="16" thickBot="1" x14ac:dyDescent="0.4">
      <c r="A539" s="908" t="s">
        <v>19</v>
      </c>
      <c r="B539" s="249">
        <f>B538/31</f>
        <v>0</v>
      </c>
      <c r="C539" s="249">
        <f t="shared" ref="C539:E539" si="80">C538/31</f>
        <v>0</v>
      </c>
      <c r="D539" s="249">
        <f t="shared" si="80"/>
        <v>0</v>
      </c>
      <c r="E539" s="249">
        <f t="shared" si="80"/>
        <v>0</v>
      </c>
      <c r="F539" s="336" t="s">
        <v>69</v>
      </c>
      <c r="G539" s="263">
        <f>G538/31</f>
        <v>0</v>
      </c>
      <c r="H539" s="263">
        <f t="shared" ref="H539:J539" si="81">H538/31</f>
        <v>0</v>
      </c>
      <c r="I539" s="263">
        <f t="shared" si="81"/>
        <v>0</v>
      </c>
      <c r="J539" s="388">
        <f t="shared" si="81"/>
        <v>0</v>
      </c>
      <c r="K539" s="671">
        <v>0</v>
      </c>
      <c r="L539" s="671">
        <v>0</v>
      </c>
      <c r="M539" s="269">
        <v>0</v>
      </c>
    </row>
  </sheetData>
  <mergeCells count="69">
    <mergeCell ref="A501:A503"/>
    <mergeCell ref="B501:E501"/>
    <mergeCell ref="K501:L501"/>
    <mergeCell ref="A411:A413"/>
    <mergeCell ref="B411:E411"/>
    <mergeCell ref="G411:I411"/>
    <mergeCell ref="K411:L411"/>
    <mergeCell ref="A456:A458"/>
    <mergeCell ref="B456:E456"/>
    <mergeCell ref="G456:I456"/>
    <mergeCell ref="K456:L456"/>
    <mergeCell ref="G457:I457"/>
    <mergeCell ref="K457:L457"/>
    <mergeCell ref="A366:A368"/>
    <mergeCell ref="B366:E366"/>
    <mergeCell ref="G366:I366"/>
    <mergeCell ref="K366:L366"/>
    <mergeCell ref="G367:I367"/>
    <mergeCell ref="K367:L367"/>
    <mergeCell ref="A321:A323"/>
    <mergeCell ref="B321:E321"/>
    <mergeCell ref="G321:I321"/>
    <mergeCell ref="K321:L321"/>
    <mergeCell ref="G322:I322"/>
    <mergeCell ref="K322:L322"/>
    <mergeCell ref="A276:A278"/>
    <mergeCell ref="B276:E276"/>
    <mergeCell ref="G276:I276"/>
    <mergeCell ref="K276:L276"/>
    <mergeCell ref="G277:I277"/>
    <mergeCell ref="K277:L277"/>
    <mergeCell ref="A231:A233"/>
    <mergeCell ref="B231:E231"/>
    <mergeCell ref="G231:I231"/>
    <mergeCell ref="K231:L231"/>
    <mergeCell ref="G232:I232"/>
    <mergeCell ref="K232:L232"/>
    <mergeCell ref="A227:F227"/>
    <mergeCell ref="I227:M227"/>
    <mergeCell ref="A228:F228"/>
    <mergeCell ref="I228:M228"/>
    <mergeCell ref="A229:F229"/>
    <mergeCell ref="I229:M229"/>
    <mergeCell ref="A226:F226"/>
    <mergeCell ref="A141:A143"/>
    <mergeCell ref="B141:E141"/>
    <mergeCell ref="G141:I141"/>
    <mergeCell ref="K141:L141"/>
    <mergeCell ref="G142:I142"/>
    <mergeCell ref="K142:L142"/>
    <mergeCell ref="A186:A188"/>
    <mergeCell ref="B186:E186"/>
    <mergeCell ref="G186:I186"/>
    <mergeCell ref="K186:L186"/>
    <mergeCell ref="G187:I187"/>
    <mergeCell ref="A96:A98"/>
    <mergeCell ref="B96:E96"/>
    <mergeCell ref="G96:I96"/>
    <mergeCell ref="K96:L96"/>
    <mergeCell ref="G97:I97"/>
    <mergeCell ref="K97:L97"/>
    <mergeCell ref="A6:A8"/>
    <mergeCell ref="B6:E6"/>
    <mergeCell ref="G6:I6"/>
    <mergeCell ref="K6:L6"/>
    <mergeCell ref="A51:A53"/>
    <mergeCell ref="B51:E51"/>
    <mergeCell ref="G51:I51"/>
    <mergeCell ref="K51:L51"/>
  </mergeCells>
  <conditionalFormatting sqref="F1:F1048576">
    <cfRule type="cellIs" dxfId="0" priority="1" operator="greaterThan">
      <formula>0</formula>
    </cfRule>
  </conditionalFormatting>
  <pageMargins left="0.23622047244094491" right="0.23622047244094491" top="1.3385826771653544" bottom="1.3385826771653544" header="0.9055118110236221" footer="0.31496062992125984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METEO 2024</vt:lpstr>
      <vt:lpstr>METEO 2025</vt:lpstr>
      <vt:lpstr>'METEO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Heintze</dc:creator>
  <cp:lastModifiedBy>Sebastian Heintze</cp:lastModifiedBy>
  <dcterms:created xsi:type="dcterms:W3CDTF">2025-08-17T15:17:04Z</dcterms:created>
  <dcterms:modified xsi:type="dcterms:W3CDTF">2025-08-18T08:41:33Z</dcterms:modified>
</cp:coreProperties>
</file>